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damon_leach_pnnl_gov/Documents/Desktop/MoTrPAC/Pass1B/Data/"/>
    </mc:Choice>
  </mc:AlternateContent>
  <xr:revisionPtr revIDLastSave="21" documentId="8_{1C15087C-5EC0-2245-981B-079ABE94CB43}" xr6:coauthVersionLast="47" xr6:coauthVersionMax="47" xr10:uidLastSave="{A2CD08AF-F911-E343-A8BC-3BC2BAEE65DD}"/>
  <bookViews>
    <workbookView xWindow="0" yWindow="500" windowWidth="30240" windowHeight="19640" xr2:uid="{82D3B82C-CD4D-4A77-ADE0-A26175B0F89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6" i="1" l="1"/>
  <c r="AD33" i="1"/>
  <c r="AC76" i="1"/>
  <c r="AC71" i="1"/>
  <c r="AC32" i="1"/>
  <c r="AD31" i="1"/>
  <c r="AD74" i="1"/>
  <c r="AC72" i="1"/>
  <c r="AC31" i="1"/>
  <c r="AC28" i="1"/>
  <c r="AC25" i="1"/>
  <c r="AC18" i="1"/>
  <c r="AC17" i="1"/>
  <c r="AC63" i="1"/>
  <c r="X6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CH61" i="1"/>
  <c r="CG61" i="1"/>
  <c r="CF61" i="1"/>
  <c r="CE61" i="1"/>
  <c r="CD61" i="1"/>
  <c r="CC61" i="1"/>
  <c r="CB61" i="1"/>
  <c r="CA61" i="1"/>
  <c r="AB61" i="1"/>
  <c r="AA61" i="1"/>
  <c r="Z61" i="1"/>
  <c r="Y61" i="1"/>
  <c r="X61" i="1"/>
  <c r="W61" i="1"/>
  <c r="V61" i="1"/>
  <c r="U61" i="1"/>
  <c r="CH60" i="1"/>
  <c r="CG60" i="1"/>
  <c r="CF60" i="1"/>
  <c r="CE60" i="1"/>
  <c r="CD60" i="1"/>
  <c r="CC60" i="1"/>
  <c r="CB60" i="1"/>
  <c r="CA60" i="1"/>
  <c r="AB60" i="1"/>
  <c r="AA60" i="1"/>
  <c r="Z60" i="1"/>
  <c r="Y60" i="1"/>
  <c r="X60" i="1"/>
  <c r="W60" i="1"/>
  <c r="V60" i="1"/>
  <c r="U60" i="1"/>
  <c r="CH59" i="1"/>
  <c r="CG59" i="1"/>
  <c r="CF59" i="1"/>
  <c r="CE59" i="1"/>
  <c r="CD59" i="1"/>
  <c r="CC59" i="1"/>
  <c r="CB59" i="1"/>
  <c r="CA59" i="1"/>
  <c r="AB59" i="1"/>
  <c r="AA59" i="1"/>
  <c r="Z59" i="1"/>
  <c r="Y59" i="1"/>
  <c r="X59" i="1"/>
  <c r="W59" i="1"/>
  <c r="V59" i="1"/>
  <c r="U59" i="1"/>
  <c r="CH58" i="1"/>
  <c r="CG58" i="1"/>
  <c r="CF58" i="1"/>
  <c r="CE58" i="1"/>
  <c r="CD58" i="1"/>
  <c r="CC58" i="1"/>
  <c r="CB58" i="1"/>
  <c r="CA58" i="1"/>
  <c r="AB58" i="1"/>
  <c r="AA58" i="1"/>
  <c r="Z58" i="1"/>
  <c r="Y58" i="1"/>
  <c r="X58" i="1"/>
  <c r="W58" i="1"/>
  <c r="V58" i="1"/>
  <c r="U58" i="1"/>
  <c r="CH57" i="1"/>
  <c r="CG57" i="1"/>
  <c r="CF57" i="1"/>
  <c r="CE57" i="1"/>
  <c r="CD57" i="1"/>
  <c r="CC57" i="1"/>
  <c r="CB57" i="1"/>
  <c r="CA57" i="1"/>
  <c r="AB57" i="1"/>
  <c r="AA57" i="1"/>
  <c r="Z57" i="1"/>
  <c r="Y57" i="1"/>
  <c r="X57" i="1"/>
  <c r="W57" i="1"/>
  <c r="V57" i="1"/>
  <c r="U57" i="1"/>
  <c r="CH56" i="1"/>
  <c r="CG56" i="1"/>
  <c r="CF56" i="1"/>
  <c r="CE56" i="1"/>
  <c r="CD56" i="1"/>
  <c r="CC56" i="1"/>
  <c r="CB56" i="1"/>
  <c r="CA56" i="1"/>
  <c r="AB56" i="1"/>
  <c r="AA56" i="1"/>
  <c r="Z56" i="1"/>
  <c r="Y56" i="1"/>
  <c r="X56" i="1"/>
  <c r="W56" i="1"/>
  <c r="V56" i="1"/>
  <c r="U56" i="1"/>
  <c r="CH55" i="1"/>
  <c r="CG55" i="1"/>
  <c r="CF55" i="1"/>
  <c r="CE55" i="1"/>
  <c r="CD55" i="1"/>
  <c r="CC55" i="1"/>
  <c r="CB55" i="1"/>
  <c r="CA55" i="1"/>
  <c r="AB55" i="1"/>
  <c r="AA55" i="1"/>
  <c r="Z55" i="1"/>
  <c r="Y55" i="1"/>
  <c r="X55" i="1"/>
  <c r="W55" i="1"/>
  <c r="V55" i="1"/>
  <c r="U55" i="1"/>
  <c r="CH54" i="1"/>
  <c r="CG54" i="1"/>
  <c r="CF54" i="1"/>
  <c r="CE54" i="1"/>
  <c r="CD54" i="1"/>
  <c r="CC54" i="1"/>
  <c r="CB54" i="1"/>
  <c r="CA54" i="1"/>
  <c r="AB54" i="1"/>
  <c r="AA54" i="1"/>
  <c r="Z54" i="1"/>
  <c r="Y54" i="1"/>
  <c r="X54" i="1"/>
  <c r="W54" i="1"/>
  <c r="V54" i="1"/>
  <c r="U54" i="1"/>
  <c r="BI28" i="1"/>
  <c r="BH28" i="1"/>
  <c r="BG28" i="1"/>
  <c r="BF28" i="1"/>
  <c r="BE28" i="1"/>
  <c r="BD28" i="1"/>
  <c r="BC28" i="1"/>
  <c r="BB28" i="1"/>
  <c r="AH31" i="1" s="1"/>
  <c r="BA28" i="1"/>
  <c r="AZ28" i="1"/>
  <c r="AY28" i="1"/>
  <c r="AX28" i="1"/>
  <c r="AW28" i="1"/>
  <c r="AC35" i="1" s="1"/>
  <c r="AV28" i="1"/>
  <c r="AU28" i="1"/>
  <c r="AT28" i="1"/>
  <c r="BZ27" i="1"/>
  <c r="BY27" i="1"/>
  <c r="BX27" i="1"/>
  <c r="BW27" i="1"/>
  <c r="BV27" i="1"/>
  <c r="BU27" i="1"/>
  <c r="BT27" i="1"/>
  <c r="BS27" i="1"/>
  <c r="BR27" i="1"/>
  <c r="BQ27" i="1"/>
  <c r="BQ28" i="1" s="1"/>
  <c r="BP27" i="1"/>
  <c r="BP28" i="1" s="1"/>
  <c r="BO27" i="1"/>
  <c r="BO28" i="1" s="1"/>
  <c r="BN27" i="1"/>
  <c r="BN28" i="1" s="1"/>
  <c r="BM27" i="1"/>
  <c r="BM28" i="1" s="1"/>
  <c r="BL27" i="1"/>
  <c r="BL28" i="1" s="1"/>
  <c r="BK27" i="1"/>
  <c r="BK28" i="1" s="1"/>
  <c r="BJ27" i="1"/>
  <c r="BJ28" i="1" s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BZ20" i="1"/>
  <c r="BZ29" i="1" s="1"/>
  <c r="BY20" i="1"/>
  <c r="BY29" i="1" s="1"/>
  <c r="BX20" i="1"/>
  <c r="BX29" i="1" s="1"/>
  <c r="BW20" i="1"/>
  <c r="BW29" i="1" s="1"/>
  <c r="BV20" i="1"/>
  <c r="BV29" i="1" s="1"/>
  <c r="AI35" i="1" s="1"/>
  <c r="BU20" i="1"/>
  <c r="BU29" i="1" s="1"/>
  <c r="BT20" i="1"/>
  <c r="BT29" i="1" s="1"/>
  <c r="BS20" i="1"/>
  <c r="BS29" i="1" s="1"/>
  <c r="BR20" i="1"/>
  <c r="BR29" i="1" s="1"/>
  <c r="BQ20" i="1"/>
  <c r="BQ29" i="1" s="1"/>
  <c r="AI34" i="1" s="1"/>
  <c r="BP20" i="1"/>
  <c r="BP29" i="1" s="1"/>
  <c r="BO20" i="1"/>
  <c r="BO29" i="1" s="1"/>
  <c r="BN20" i="1"/>
  <c r="BN29" i="1" s="1"/>
  <c r="BM20" i="1"/>
  <c r="BM29" i="1" s="1"/>
  <c r="BL20" i="1"/>
  <c r="BL29" i="1" s="1"/>
  <c r="AI33" i="1" s="1"/>
  <c r="BK20" i="1"/>
  <c r="BK29" i="1" s="1"/>
  <c r="BJ20" i="1"/>
  <c r="BJ29" i="1" s="1"/>
  <c r="BI20" i="1"/>
  <c r="BI29" i="1" s="1"/>
  <c r="BH20" i="1"/>
  <c r="BH29" i="1" s="1"/>
  <c r="BG20" i="1"/>
  <c r="BG29" i="1" s="1"/>
  <c r="AI32" i="1" s="1"/>
  <c r="BF20" i="1"/>
  <c r="BF29" i="1" s="1"/>
  <c r="BE20" i="1"/>
  <c r="BE29" i="1" s="1"/>
  <c r="BD20" i="1"/>
  <c r="BD29" i="1" s="1"/>
  <c r="BC20" i="1"/>
  <c r="BC29" i="1" s="1"/>
  <c r="BB20" i="1"/>
  <c r="BB29" i="1" s="1"/>
  <c r="AI31" i="1" s="1"/>
  <c r="BA20" i="1"/>
  <c r="BA29" i="1" s="1"/>
  <c r="AZ20" i="1"/>
  <c r="AZ29" i="1" s="1"/>
  <c r="AY20" i="1"/>
  <c r="AY29" i="1" s="1"/>
  <c r="AX20" i="1"/>
  <c r="AX29" i="1" s="1"/>
  <c r="AW20" i="1"/>
  <c r="AW29" i="1" s="1"/>
  <c r="AD35" i="1" s="1"/>
  <c r="AV20" i="1"/>
  <c r="AV29" i="1" s="1"/>
  <c r="AU20" i="1"/>
  <c r="AU29" i="1" s="1"/>
  <c r="AT20" i="1"/>
  <c r="AT29" i="1" s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BZ19" i="1"/>
  <c r="BZ28" i="1" s="1"/>
  <c r="BY19" i="1"/>
  <c r="BY28" i="1" s="1"/>
  <c r="BX19" i="1"/>
  <c r="BX28" i="1" s="1"/>
  <c r="BW19" i="1"/>
  <c r="BW28" i="1" s="1"/>
  <c r="BV19" i="1"/>
  <c r="BV28" i="1" s="1"/>
  <c r="AH35" i="1" s="1"/>
  <c r="BU19" i="1"/>
  <c r="BU28" i="1" s="1"/>
  <c r="BT19" i="1"/>
  <c r="BT28" i="1" s="1"/>
  <c r="BS19" i="1"/>
  <c r="BS28" i="1" s="1"/>
  <c r="BR19" i="1"/>
  <c r="BR28" i="1" s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CH14" i="1"/>
  <c r="CG14" i="1"/>
  <c r="CF14" i="1"/>
  <c r="CE14" i="1"/>
  <c r="CD14" i="1"/>
  <c r="CC14" i="1"/>
  <c r="CB14" i="1"/>
  <c r="CA14" i="1"/>
  <c r="AB14" i="1"/>
  <c r="AA14" i="1"/>
  <c r="Z14" i="1"/>
  <c r="Y14" i="1"/>
  <c r="X14" i="1"/>
  <c r="W14" i="1"/>
  <c r="V14" i="1"/>
  <c r="U14" i="1"/>
  <c r="CH13" i="1"/>
  <c r="CG13" i="1"/>
  <c r="CF13" i="1"/>
  <c r="CE13" i="1"/>
  <c r="CD13" i="1"/>
  <c r="CC13" i="1"/>
  <c r="CB13" i="1"/>
  <c r="CA13" i="1"/>
  <c r="AB13" i="1"/>
  <c r="AA13" i="1"/>
  <c r="Z13" i="1"/>
  <c r="Y13" i="1"/>
  <c r="X13" i="1"/>
  <c r="W13" i="1"/>
  <c r="V13" i="1"/>
  <c r="U13" i="1"/>
  <c r="CH12" i="1"/>
  <c r="CG12" i="1"/>
  <c r="CF12" i="1"/>
  <c r="CE12" i="1"/>
  <c r="CD12" i="1"/>
  <c r="CC12" i="1"/>
  <c r="CB12" i="1"/>
  <c r="CA12" i="1"/>
  <c r="AB12" i="1"/>
  <c r="AA12" i="1"/>
  <c r="Z12" i="1"/>
  <c r="Y12" i="1"/>
  <c r="X12" i="1"/>
  <c r="W12" i="1"/>
  <c r="V12" i="1"/>
  <c r="U12" i="1"/>
  <c r="CH11" i="1"/>
  <c r="CG11" i="1"/>
  <c r="CF11" i="1"/>
  <c r="CE11" i="1"/>
  <c r="CD11" i="1"/>
  <c r="CC11" i="1"/>
  <c r="CB11" i="1"/>
  <c r="CA11" i="1"/>
  <c r="AB11" i="1"/>
  <c r="AA11" i="1"/>
  <c r="Z11" i="1"/>
  <c r="Y11" i="1"/>
  <c r="X11" i="1"/>
  <c r="W11" i="1"/>
  <c r="V11" i="1"/>
  <c r="U11" i="1"/>
  <c r="CH10" i="1"/>
  <c r="CG10" i="1"/>
  <c r="CF10" i="1"/>
  <c r="CE10" i="1"/>
  <c r="CD10" i="1"/>
  <c r="CC10" i="1"/>
  <c r="CB10" i="1"/>
  <c r="CA10" i="1"/>
  <c r="AB10" i="1"/>
  <c r="AA10" i="1"/>
  <c r="Z10" i="1"/>
  <c r="Y10" i="1"/>
  <c r="X10" i="1"/>
  <c r="W10" i="1"/>
  <c r="V10" i="1"/>
  <c r="U10" i="1"/>
  <c r="CH9" i="1"/>
  <c r="CG9" i="1"/>
  <c r="CF9" i="1"/>
  <c r="CE9" i="1"/>
  <c r="CD9" i="1"/>
  <c r="CC9" i="1"/>
  <c r="CB9" i="1"/>
  <c r="CA9" i="1"/>
  <c r="AB9" i="1"/>
  <c r="AA9" i="1"/>
  <c r="Z9" i="1"/>
  <c r="Y9" i="1"/>
  <c r="X9" i="1"/>
  <c r="W9" i="1"/>
  <c r="V9" i="1"/>
  <c r="U9" i="1"/>
  <c r="CH8" i="1"/>
  <c r="CG8" i="1"/>
  <c r="CF8" i="1"/>
  <c r="CE8" i="1"/>
  <c r="CD8" i="1"/>
  <c r="CC8" i="1"/>
  <c r="CB8" i="1"/>
  <c r="CA8" i="1"/>
  <c r="AB8" i="1"/>
  <c r="AA8" i="1"/>
  <c r="Z8" i="1"/>
  <c r="Y8" i="1"/>
  <c r="X8" i="1"/>
  <c r="W8" i="1"/>
  <c r="V8" i="1"/>
  <c r="U8" i="1"/>
  <c r="CH7" i="1"/>
  <c r="CG7" i="1"/>
  <c r="CF7" i="1"/>
  <c r="CE7" i="1"/>
  <c r="CD7" i="1"/>
  <c r="CC7" i="1"/>
  <c r="CB7" i="1"/>
  <c r="CA7" i="1"/>
  <c r="AB7" i="1"/>
  <c r="AA7" i="1"/>
  <c r="Z7" i="1"/>
  <c r="Y7" i="1"/>
  <c r="X7" i="1"/>
  <c r="W7" i="1"/>
  <c r="V7" i="1"/>
  <c r="U7" i="1"/>
  <c r="CH6" i="1"/>
  <c r="CG6" i="1"/>
  <c r="CF6" i="1"/>
  <c r="CE6" i="1"/>
  <c r="CD6" i="1"/>
  <c r="CC6" i="1"/>
  <c r="CB6" i="1"/>
  <c r="CA6" i="1"/>
  <c r="AB6" i="1"/>
  <c r="AA6" i="1"/>
  <c r="Z6" i="1"/>
  <c r="Y6" i="1"/>
  <c r="W6" i="1"/>
  <c r="V6" i="1"/>
  <c r="U6" i="1"/>
  <c r="CH5" i="1"/>
  <c r="CG5" i="1"/>
  <c r="CF5" i="1"/>
  <c r="CE5" i="1"/>
  <c r="CD5" i="1"/>
  <c r="CC5" i="1"/>
  <c r="CB5" i="1"/>
  <c r="CA5" i="1"/>
  <c r="AB5" i="1"/>
  <c r="AA5" i="1"/>
  <c r="Z5" i="1"/>
  <c r="Y5" i="1"/>
  <c r="X5" i="1"/>
  <c r="W5" i="1"/>
  <c r="V5" i="1"/>
  <c r="U5" i="1"/>
  <c r="CH4" i="1"/>
  <c r="CG4" i="1"/>
  <c r="CF4" i="1"/>
  <c r="CE4" i="1"/>
  <c r="CD4" i="1"/>
  <c r="CC4" i="1"/>
  <c r="CB4" i="1"/>
  <c r="CA4" i="1"/>
  <c r="AB4" i="1"/>
  <c r="AA4" i="1"/>
  <c r="Z4" i="1"/>
  <c r="Y4" i="1"/>
  <c r="X4" i="1"/>
  <c r="W4" i="1"/>
  <c r="V4" i="1"/>
  <c r="U4" i="1"/>
  <c r="CH3" i="1"/>
  <c r="CG3" i="1"/>
  <c r="CF3" i="1"/>
  <c r="CE3" i="1"/>
  <c r="CD3" i="1"/>
  <c r="CC3" i="1"/>
  <c r="CB3" i="1"/>
  <c r="CA3" i="1"/>
  <c r="AB3" i="1"/>
  <c r="AA3" i="1"/>
  <c r="Z3" i="1"/>
  <c r="Y3" i="1"/>
  <c r="X3" i="1"/>
  <c r="W3" i="1"/>
  <c r="V3" i="1"/>
  <c r="U3" i="1"/>
  <c r="BZ72" i="1" l="1"/>
  <c r="BZ71" i="1"/>
  <c r="BY72" i="1"/>
  <c r="BY71" i="1"/>
  <c r="BX71" i="1"/>
  <c r="BX72" i="1"/>
  <c r="BW72" i="1"/>
  <c r="BW71" i="1"/>
  <c r="BV72" i="1"/>
  <c r="AH78" i="1" s="1"/>
  <c r="BV71" i="1"/>
  <c r="AI78" i="1" s="1"/>
  <c r="BU71" i="1"/>
  <c r="BU72" i="1"/>
  <c r="BT71" i="1"/>
  <c r="BT72" i="1"/>
  <c r="BS72" i="1"/>
  <c r="BS71" i="1"/>
  <c r="BR71" i="1"/>
  <c r="BR72" i="1"/>
  <c r="BQ71" i="1"/>
  <c r="AI77" i="1" s="1"/>
  <c r="BQ72" i="1"/>
  <c r="AH77" i="1" s="1"/>
  <c r="BP71" i="1"/>
  <c r="BP72" i="1"/>
  <c r="BO71" i="1"/>
  <c r="BO72" i="1"/>
  <c r="BN71" i="1"/>
  <c r="BN72" i="1"/>
  <c r="BM71" i="1"/>
  <c r="BM72" i="1"/>
  <c r="BL72" i="1"/>
  <c r="BL71" i="1"/>
  <c r="AI76" i="1" s="1"/>
  <c r="BK71" i="1"/>
  <c r="BK72" i="1"/>
  <c r="BJ71" i="1"/>
  <c r="BJ72" i="1"/>
  <c r="BI71" i="1"/>
  <c r="BI72" i="1"/>
  <c r="BH71" i="1"/>
  <c r="BH72" i="1"/>
  <c r="BG72" i="1"/>
  <c r="AH75" i="1" s="1"/>
  <c r="BG71" i="1"/>
  <c r="AI75" i="1" s="1"/>
  <c r="BF71" i="1"/>
  <c r="BF72" i="1"/>
  <c r="BE72" i="1"/>
  <c r="BE71" i="1"/>
  <c r="BD71" i="1"/>
  <c r="BD72" i="1"/>
  <c r="BC72" i="1"/>
  <c r="BC71" i="1"/>
  <c r="BB72" i="1"/>
  <c r="AH74" i="1" s="1"/>
  <c r="BB71" i="1"/>
  <c r="AI74" i="1" s="1"/>
  <c r="BA72" i="1"/>
  <c r="BA71" i="1"/>
  <c r="AZ71" i="1"/>
  <c r="AZ72" i="1"/>
  <c r="AY72" i="1"/>
  <c r="AY71" i="1"/>
  <c r="AX71" i="1"/>
  <c r="AX72" i="1"/>
  <c r="AW72" i="1"/>
  <c r="AC78" i="1" s="1"/>
  <c r="AW71" i="1"/>
  <c r="AD78" i="1" s="1"/>
  <c r="AV72" i="1"/>
  <c r="AV71" i="1"/>
  <c r="AU71" i="1"/>
  <c r="AU72" i="1"/>
  <c r="AT72" i="1"/>
  <c r="AT71" i="1"/>
  <c r="AS71" i="1"/>
  <c r="AS72" i="1"/>
  <c r="AR72" i="1"/>
  <c r="AC77" i="1" s="1"/>
  <c r="AR71" i="1"/>
  <c r="AD77" i="1" s="1"/>
  <c r="AQ72" i="1"/>
  <c r="AQ71" i="1"/>
  <c r="AP72" i="1"/>
  <c r="AP71" i="1"/>
  <c r="AO71" i="1"/>
  <c r="AO72" i="1"/>
  <c r="AN71" i="1"/>
  <c r="AN72" i="1"/>
  <c r="AM71" i="1"/>
  <c r="AM72" i="1"/>
  <c r="AL72" i="1"/>
  <c r="AL71" i="1"/>
  <c r="AK72" i="1"/>
  <c r="AK71" i="1"/>
  <c r="AJ72" i="1"/>
  <c r="AJ71" i="1"/>
  <c r="AI72" i="1"/>
  <c r="AI71" i="1"/>
  <c r="AH72" i="1"/>
  <c r="AC75" i="1" s="1"/>
  <c r="AH71" i="1"/>
  <c r="AD75" i="1" s="1"/>
  <c r="AG72" i="1"/>
  <c r="AG71" i="1"/>
  <c r="AF72" i="1"/>
  <c r="AF71" i="1"/>
  <c r="AE71" i="1"/>
  <c r="AE72" i="1"/>
  <c r="AD71" i="1"/>
  <c r="AD72" i="1"/>
  <c r="AC74" i="1"/>
  <c r="AS28" i="1"/>
  <c r="AS29" i="1"/>
  <c r="AR29" i="1"/>
  <c r="AD34" i="1" s="1"/>
  <c r="AR28" i="1"/>
  <c r="AC34" i="1" s="1"/>
  <c r="AQ29" i="1"/>
  <c r="AQ28" i="1"/>
  <c r="AP29" i="1"/>
  <c r="AP28" i="1"/>
  <c r="AO29" i="1"/>
  <c r="AO28" i="1"/>
  <c r="AN28" i="1"/>
  <c r="AN29" i="1"/>
  <c r="AM29" i="1"/>
  <c r="AM28" i="1"/>
  <c r="AC33" i="1" s="1"/>
  <c r="AL29" i="1"/>
  <c r="AL28" i="1"/>
  <c r="AK29" i="1"/>
  <c r="AK28" i="1"/>
  <c r="AJ29" i="1"/>
  <c r="AJ28" i="1"/>
  <c r="AI29" i="1"/>
  <c r="AI28" i="1"/>
  <c r="AH28" i="1"/>
  <c r="AH29" i="1"/>
  <c r="AD32" i="1" s="1"/>
  <c r="AG28" i="1"/>
  <c r="AG29" i="1"/>
  <c r="AF29" i="1"/>
  <c r="AF28" i="1"/>
  <c r="AE29" i="1"/>
  <c r="AE28" i="1"/>
  <c r="AD29" i="1"/>
  <c r="AD28" i="1"/>
  <c r="AC29" i="1"/>
  <c r="AH32" i="1"/>
  <c r="AH34" i="1"/>
  <c r="AH33" i="1"/>
  <c r="AH76" i="1" l="1"/>
</calcChain>
</file>

<file path=xl/sharedStrings.xml><?xml version="1.0" encoding="utf-8"?>
<sst xmlns="http://schemas.openxmlformats.org/spreadsheetml/2006/main" count="479" uniqueCount="144">
  <si>
    <t>RowID</t>
  </si>
  <si>
    <t>Feature#</t>
  </si>
  <si>
    <t>LC_Mode</t>
  </si>
  <si>
    <t>refmet_name</t>
  </si>
  <si>
    <t>metabolite_name</t>
  </si>
  <si>
    <t>GT_Metabolite_Name</t>
  </si>
  <si>
    <t>Name_CD</t>
  </si>
  <si>
    <t>Confidence Level</t>
  </si>
  <si>
    <t>Formula</t>
  </si>
  <si>
    <t>Molecular Weight</t>
  </si>
  <si>
    <t>MolecularWeight_rounded</t>
  </si>
  <si>
    <t>m/z</t>
  </si>
  <si>
    <t>RT [min]</t>
  </si>
  <si>
    <t>RT[min]rounded</t>
  </si>
  <si>
    <t>RT_Index</t>
  </si>
  <si>
    <t>RT Standard</t>
  </si>
  <si>
    <t>RT lookup</t>
  </si>
  <si>
    <t># Adducts</t>
  </si>
  <si>
    <t>Text check</t>
  </si>
  <si>
    <t>Main Ion Annotation</t>
  </si>
  <si>
    <t>F1</t>
  </si>
  <si>
    <t>F2</t>
  </si>
  <si>
    <t>F4</t>
  </si>
  <si>
    <t>F8</t>
  </si>
  <si>
    <t>F1 ttest</t>
  </si>
  <si>
    <t>F2 ttest</t>
  </si>
  <si>
    <t>F4 ttest</t>
  </si>
  <si>
    <t>F8 ttest</t>
  </si>
  <si>
    <t>F_C</t>
  </si>
  <si>
    <t>F_T1</t>
  </si>
  <si>
    <t>F_T2</t>
  </si>
  <si>
    <t>F_T4</t>
  </si>
  <si>
    <t>F_T8</t>
  </si>
  <si>
    <t>M_C</t>
  </si>
  <si>
    <t>M_T1</t>
  </si>
  <si>
    <t>M_T2</t>
  </si>
  <si>
    <t>M_T4</t>
  </si>
  <si>
    <t>M_T8</t>
  </si>
  <si>
    <t>M1</t>
  </si>
  <si>
    <t>M2</t>
  </si>
  <si>
    <t>M4</t>
  </si>
  <si>
    <t>M8</t>
  </si>
  <si>
    <t>M1 ttest</t>
  </si>
  <si>
    <t>M2 ttest</t>
  </si>
  <si>
    <t>M4 ttest</t>
  </si>
  <si>
    <t>M8 ttest</t>
  </si>
  <si>
    <t>IPE_Reference_Gastrocnemius</t>
  </si>
  <si>
    <t>IPE_Reference_Gastrocnemius02</t>
  </si>
  <si>
    <t>SED_Reference_Gastrocnemius</t>
  </si>
  <si>
    <t>SED_Reference_Gastrocnemius02</t>
  </si>
  <si>
    <t>QC01</t>
  </si>
  <si>
    <t>QC02</t>
  </si>
  <si>
    <t>QC03</t>
  </si>
  <si>
    <t>QC04</t>
  </si>
  <si>
    <t>QC05</t>
  </si>
  <si>
    <t>QC06</t>
  </si>
  <si>
    <t>QC07</t>
  </si>
  <si>
    <t>QC08</t>
  </si>
  <si>
    <t>SampleBlank01</t>
  </si>
  <si>
    <t>SampleBlank02</t>
  </si>
  <si>
    <t>SampleBlank03</t>
  </si>
  <si>
    <t>SampleBlank04</t>
  </si>
  <si>
    <t>SampleBlank05</t>
  </si>
  <si>
    <t>SampleBlank06</t>
  </si>
  <si>
    <t>RP_P</t>
  </si>
  <si>
    <t>GTInternalStandard_PE(33:1(d7))&gt;PE(15:0/18:1(9z,d7))_[iSTD]</t>
  </si>
  <si>
    <t>GTInternalStandard_PE(33:1(d7))&gt;PE(15:0/18:1(9z,d7))_feature1</t>
  </si>
  <si>
    <t>GTInternalStandard_PE(33:1(d7))&gt;PE(15:0/18:1(9z,d7))_[istd]</t>
  </si>
  <si>
    <t>C38 H67 D7 N O8 P</t>
  </si>
  <si>
    <t>NA</t>
  </si>
  <si>
    <t>not found</t>
  </si>
  <si>
    <t>[M+H]+</t>
  </si>
  <si>
    <t>Cer(d18:1/16:0)</t>
  </si>
  <si>
    <t>Cer(d34:1)&gt;Cer(d18:1/16:0)_feature1</t>
  </si>
  <si>
    <t>Cer(d34:1)&gt;Cer(d18:1/16:0)</t>
  </si>
  <si>
    <t>C34 H67 N O3</t>
  </si>
  <si>
    <t>SM_Muscle_RP_P</t>
  </si>
  <si>
    <t>Cer(d18:1/18:0)</t>
  </si>
  <si>
    <t>Cer(d36:1)&gt;Cer(d18:1/18:0)_feature1</t>
  </si>
  <si>
    <t>Cer(d36:1)&gt;Cer(d18:1/18:0)</t>
  </si>
  <si>
    <t>C36 H71 N O3</t>
  </si>
  <si>
    <t>Cer(d18:1/22:0)_lp_b</t>
  </si>
  <si>
    <t>Cer(d40:1)&gt;Cer(d18:1/22:0)_feature2</t>
  </si>
  <si>
    <t>Cer(d40:1)&gt;Cer(d18:1/22:0)</t>
  </si>
  <si>
    <t>C40 H79 N O3</t>
  </si>
  <si>
    <t>Cer(d18:1/23:0)</t>
  </si>
  <si>
    <t>Cer(d41:1)&gt;Cer(d18:1/23:0)_feature1</t>
  </si>
  <si>
    <t>Cer(d41:1)&gt;Cer(d18:1/23:0)</t>
  </si>
  <si>
    <t>C41 H81 N O3</t>
  </si>
  <si>
    <t>Cer(d18:1/24:0)_lp_c</t>
  </si>
  <si>
    <t>Cer(d42:1)&gt;Cer(d18:1/24:0)_feature3</t>
  </si>
  <si>
    <t>Cer(d42:1)&gt;Cer(d18:1/24:0)</t>
  </si>
  <si>
    <t>C42 H83 N O3</t>
  </si>
  <si>
    <t>Cer(d18:1/24:1)_lp_c</t>
  </si>
  <si>
    <t>Cer(d42:2)&gt;Cer(d18:1/24:1)_feature3</t>
  </si>
  <si>
    <t>Cer(d42:2)&gt;Cer(d18:1/24:1)</t>
  </si>
  <si>
    <t>C42 H81 N O3</t>
  </si>
  <si>
    <t>Cer(d42:3)_lp_b</t>
  </si>
  <si>
    <t>Cer(d42:3)&gt;Cer(d18:1/24:2)_and_Cer(d18:2/24:1)_feature2</t>
  </si>
  <si>
    <t>Cer(d42:3)&gt;Cer(d18:1/24:2)_and_Cer(d18:2/24:1)</t>
  </si>
  <si>
    <t>C42 H79 N O3</t>
  </si>
  <si>
    <t>Cer(d18:1/25:0)_lp_ab</t>
  </si>
  <si>
    <t>Cer(d43:1)&gt;Cer(d18:1/25:0)_feature1and2</t>
  </si>
  <si>
    <t>Cer(d43:1)&gt;Cer(d18:1/25:0)</t>
  </si>
  <si>
    <t>C43 H85 N O3</t>
  </si>
  <si>
    <t>Cer(d44:1)</t>
  </si>
  <si>
    <t>C40 H83 N7 O</t>
  </si>
  <si>
    <t>Cer(d44:2)</t>
  </si>
  <si>
    <t>C40 H81 N7 O</t>
  </si>
  <si>
    <t>Cer(d41:2)</t>
  </si>
  <si>
    <t>C37 H75 N7 O</t>
  </si>
  <si>
    <t>Cer(d42:0)</t>
  </si>
  <si>
    <t>C42 H85 N O3</t>
  </si>
  <si>
    <t>sum</t>
  </si>
  <si>
    <t>24:1/24:0</t>
  </si>
  <si>
    <t>avg sum</t>
  </si>
  <si>
    <t>avg ratio</t>
  </si>
  <si>
    <t>HexCer(d40:1)</t>
  </si>
  <si>
    <t>C47 H95 N O P2 S</t>
  </si>
  <si>
    <t>HexCer(d42:1)_lp_b</t>
  </si>
  <si>
    <t>HexCer(d42:1)&gt;HexCer(d18:1/24:0)_feature2</t>
  </si>
  <si>
    <t>HexCer(d42:1)&gt;HexCer(d18:1/24:0)</t>
  </si>
  <si>
    <t>C48 H93 N O8</t>
  </si>
  <si>
    <t>HexCer(d42:2)</t>
  </si>
  <si>
    <t>C49 H95 N O3 S2</t>
  </si>
  <si>
    <t>HexCer(d18:1/23:0-OH)_lp_b</t>
  </si>
  <si>
    <t>HexCer(d41:1-OH)&gt;HexCer(d18:1/23:0-OH)_feature2</t>
  </si>
  <si>
    <t>HexCer(d41:1-OH)&gt;HexCer(d18:1/23:0-OH)</t>
  </si>
  <si>
    <t>C47 H91 N O9</t>
  </si>
  <si>
    <t>HexCer(d18:1/24:0-OH)_lp_c</t>
  </si>
  <si>
    <t>HexCer(d42:1-OH)&gt;HexCer(d18:1/24:0-OH)_feature3</t>
  </si>
  <si>
    <t>HexCer(d42:1-OH)&gt;HexCer(d18:1/24:0-OH)</t>
  </si>
  <si>
    <t>C48 H93 N O9</t>
  </si>
  <si>
    <t>HexCer(d18:1/24:1-OH)_lp_c</t>
  </si>
  <si>
    <t>HexCer(d42:2-OH)&gt;HexCer(d18:1/24:1-OH)_feature3</t>
  </si>
  <si>
    <t>HexCer(d42:2-OH)&gt;HexCer(d18:1/24:1-OH)</t>
  </si>
  <si>
    <t>C48 H91 N O9</t>
  </si>
  <si>
    <t>HexCer(d42:2-OH)&gt;HexCer(d18:2/24:0-OH)</t>
  </si>
  <si>
    <t>HexCer(d18:1/25:0-OH)</t>
  </si>
  <si>
    <t>HexCer(d43:1-OH)&gt;HexCer(d18:1/25:0-OH)_feature1</t>
  </si>
  <si>
    <t>HexCer(d43:1-OH)&gt;HexCer(d18:1/25:0-OH)</t>
  </si>
  <si>
    <t>C49 H95 N O9</t>
  </si>
  <si>
    <t>sum not oxidized</t>
  </si>
  <si>
    <t>avg sum not oxidized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</si>
</sst>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DEBF7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theme="0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0" fillId="3" borderId="0" xfId="0" applyFill="1"/>
    <xf numFmtId="0" fontId="2" fillId="4" borderId="2" xfId="0" applyFont="1" applyFill="1" applyBorder="1"/>
    <xf numFmtId="2" fontId="2" fillId="4" borderId="2" xfId="0" applyNumberFormat="1" applyFont="1" applyFill="1" applyBorder="1"/>
    <xf numFmtId="0" fontId="3" fillId="5" borderId="1" xfId="0" applyFont="1" applyFill="1" applyBorder="1"/>
    <xf numFmtId="0" fontId="3" fillId="5" borderId="3" xfId="0" applyFont="1" applyFill="1" applyBorder="1"/>
    <xf numFmtId="0" fontId="0" fillId="6" borderId="0" xfId="0" applyFill="1"/>
    <xf numFmtId="0" fontId="1" fillId="0" borderId="0" xfId="0" applyFont="1"/>
    <xf numFmtId="0" fontId="3" fillId="5" borderId="0" xfId="0" applyFont="1" applyFill="1"/>
  </cellXfs>
  <cellStyles count="1">
    <cellStyle name="Normal" xfId="0" builtinId="0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Female Cer 24:1/24:0 ratio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[1]Cer!$AB$31:$AB$35</c:f>
              <c:strCache>
                <c:ptCount val="5"/>
                <c:pt idx="0">
                  <c:v>F_C</c:v>
                </c:pt>
                <c:pt idx="1">
                  <c:v>F_T1</c:v>
                </c:pt>
                <c:pt idx="2">
                  <c:v>F_T2</c:v>
                </c:pt>
                <c:pt idx="3">
                  <c:v>F_T4</c:v>
                </c:pt>
                <c:pt idx="4">
                  <c:v>F_T8</c:v>
                </c:pt>
              </c:strCache>
            </c:strRef>
          </c:cat>
          <c:val>
            <c:numRef>
              <c:f>[1]Cer!$AD$31:$AD$35</c:f>
              <c:numCache>
                <c:formatCode>General</c:formatCode>
                <c:ptCount val="5"/>
                <c:pt idx="0">
                  <c:v>0.12136436050798689</c:v>
                </c:pt>
                <c:pt idx="1">
                  <c:v>0.1047190258243387</c:v>
                </c:pt>
                <c:pt idx="2">
                  <c:v>0.10380036166820439</c:v>
                </c:pt>
                <c:pt idx="3">
                  <c:v>0.10326909331426597</c:v>
                </c:pt>
                <c:pt idx="4">
                  <c:v>9.8154024400099835E-2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4-481D-B5F2-DE32F0BF0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211456"/>
        <c:axId val="218229696"/>
      </c:barChart>
      <c:catAx>
        <c:axId val="21821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229696"/>
        <c:crosses val="autoZero"/>
        <c:auto val="1"/>
        <c:lblAlgn val="ctr"/>
        <c:lblOffset val="100"/>
        <c:noMultiLvlLbl val="0"/>
      </c:catAx>
      <c:valAx>
        <c:axId val="21822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21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 Cer 24:1/24:0 ratio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[1]Cer!$AG$31:$AG$35</c:f>
              <c:strCache>
                <c:ptCount val="5"/>
                <c:pt idx="0">
                  <c:v>M_C</c:v>
                </c:pt>
                <c:pt idx="1">
                  <c:v>M_T1</c:v>
                </c:pt>
                <c:pt idx="2">
                  <c:v>M_T2</c:v>
                </c:pt>
                <c:pt idx="3">
                  <c:v>M_T4</c:v>
                </c:pt>
                <c:pt idx="4">
                  <c:v>M_T8</c:v>
                </c:pt>
              </c:strCache>
            </c:strRef>
          </c:cat>
          <c:val>
            <c:numRef>
              <c:f>[1]Cer!$AI$31:$AI$35</c:f>
              <c:numCache>
                <c:formatCode>General</c:formatCode>
                <c:ptCount val="5"/>
                <c:pt idx="0">
                  <c:v>9.420596960442762E-2</c:v>
                </c:pt>
                <c:pt idx="1">
                  <c:v>9.5701988982530101E-2</c:v>
                </c:pt>
                <c:pt idx="2">
                  <c:v>8.5725854361476617E-2</c:v>
                </c:pt>
                <c:pt idx="3">
                  <c:v>9.733815089996091E-2</c:v>
                </c:pt>
                <c:pt idx="4">
                  <c:v>9.5375692123071135E-2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5-4507-976F-701184225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211456"/>
        <c:axId val="218229696"/>
      </c:barChart>
      <c:catAx>
        <c:axId val="21821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229696"/>
        <c:crosses val="autoZero"/>
        <c:auto val="1"/>
        <c:lblAlgn val="ctr"/>
        <c:lblOffset val="100"/>
        <c:noMultiLvlLbl val="0"/>
      </c:catAx>
      <c:valAx>
        <c:axId val="218229696"/>
        <c:scaling>
          <c:orientation val="minMax"/>
          <c:max val="0.142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21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[1]Cer!$AB$74:$AB$78</c:f>
              <c:strCache>
                <c:ptCount val="5"/>
                <c:pt idx="0">
                  <c:v>F_C</c:v>
                </c:pt>
                <c:pt idx="1">
                  <c:v>F_T1</c:v>
                </c:pt>
                <c:pt idx="2">
                  <c:v>F_T2</c:v>
                </c:pt>
                <c:pt idx="3">
                  <c:v>F_T4</c:v>
                </c:pt>
                <c:pt idx="4">
                  <c:v>F_T8</c:v>
                </c:pt>
              </c:strCache>
            </c:strRef>
          </c:cat>
          <c:val>
            <c:numRef>
              <c:f>[1]Cer!$AC$74:$AC$78</c:f>
              <c:numCache>
                <c:formatCode>General</c:formatCode>
                <c:ptCount val="5"/>
                <c:pt idx="0">
                  <c:v>0.47993473961472272</c:v>
                </c:pt>
                <c:pt idx="1">
                  <c:v>0.68689944319569274</c:v>
                </c:pt>
                <c:pt idx="2">
                  <c:v>1.3505649838852982</c:v>
                </c:pt>
                <c:pt idx="3">
                  <c:v>0.62659093046665326</c:v>
                </c:pt>
                <c:pt idx="4">
                  <c:v>0.34417965091393221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5-4FAA-84F9-BE1E0D47545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[1]Cer!$AB$74:$AB$78</c:f>
              <c:strCache>
                <c:ptCount val="5"/>
                <c:pt idx="0">
                  <c:v>F_C</c:v>
                </c:pt>
                <c:pt idx="1">
                  <c:v>F_T1</c:v>
                </c:pt>
                <c:pt idx="2">
                  <c:v>F_T2</c:v>
                </c:pt>
                <c:pt idx="3">
                  <c:v>F_T4</c:v>
                </c:pt>
                <c:pt idx="4">
                  <c:v>F_T8</c:v>
                </c:pt>
              </c:strCache>
            </c:strRef>
          </c:cat>
          <c:val>
            <c:numRef>
              <c:f>[1]Cer!$AD$74:$AD$78</c:f>
              <c:numCache>
                <c:formatCode>General</c:formatCode>
                <c:ptCount val="5"/>
                <c:pt idx="0">
                  <c:v>0.19793899705919135</c:v>
                </c:pt>
                <c:pt idx="1">
                  <c:v>0.33456249628383411</c:v>
                </c:pt>
                <c:pt idx="2">
                  <c:v>0.71671278994214926</c:v>
                </c:pt>
                <c:pt idx="3">
                  <c:v>0.29773069274953912</c:v>
                </c:pt>
                <c:pt idx="4">
                  <c:v>0.12888965089497403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35-4FAA-84F9-BE1E0D475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234976"/>
        <c:axId val="218247936"/>
      </c:barChart>
      <c:catAx>
        <c:axId val="21823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247936"/>
        <c:crosses val="autoZero"/>
        <c:auto val="1"/>
        <c:lblAlgn val="ctr"/>
        <c:lblOffset val="100"/>
        <c:noMultiLvlLbl val="0"/>
      </c:catAx>
      <c:valAx>
        <c:axId val="21824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23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[1]Cer!$AG$74:$AG$78</c:f>
              <c:strCache>
                <c:ptCount val="5"/>
                <c:pt idx="0">
                  <c:v>M_C</c:v>
                </c:pt>
                <c:pt idx="1">
                  <c:v>M_T1</c:v>
                </c:pt>
                <c:pt idx="2">
                  <c:v>M_T2</c:v>
                </c:pt>
                <c:pt idx="3">
                  <c:v>M_T4</c:v>
                </c:pt>
                <c:pt idx="4">
                  <c:v>M_T8</c:v>
                </c:pt>
              </c:strCache>
            </c:strRef>
          </c:cat>
          <c:val>
            <c:numRef>
              <c:f>[1]Cer!$AH$74:$AH$78</c:f>
              <c:numCache>
                <c:formatCode>General</c:formatCode>
                <c:ptCount val="5"/>
                <c:pt idx="0">
                  <c:v>0.41811504039531727</c:v>
                </c:pt>
                <c:pt idx="1">
                  <c:v>0.29487117432411214</c:v>
                </c:pt>
                <c:pt idx="2">
                  <c:v>0.41540346010588947</c:v>
                </c:pt>
                <c:pt idx="3">
                  <c:v>0.50924835272915447</c:v>
                </c:pt>
                <c:pt idx="4">
                  <c:v>0.51894807853465041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5-4F56-A3F8-5E0377DE811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[1]Cer!$AG$74:$AG$78</c:f>
              <c:strCache>
                <c:ptCount val="5"/>
                <c:pt idx="0">
                  <c:v>M_C</c:v>
                </c:pt>
                <c:pt idx="1">
                  <c:v>M_T1</c:v>
                </c:pt>
                <c:pt idx="2">
                  <c:v>M_T2</c:v>
                </c:pt>
                <c:pt idx="3">
                  <c:v>M_T4</c:v>
                </c:pt>
                <c:pt idx="4">
                  <c:v>M_T8</c:v>
                </c:pt>
              </c:strCache>
            </c:strRef>
          </c:cat>
          <c:val>
            <c:numRef>
              <c:f>[1]Cer!$AI$74:$AI$78</c:f>
              <c:numCache>
                <c:formatCode>General</c:formatCode>
                <c:ptCount val="5"/>
                <c:pt idx="0">
                  <c:v>0.19149450051663922</c:v>
                </c:pt>
                <c:pt idx="1">
                  <c:v>0.1330994956858837</c:v>
                </c:pt>
                <c:pt idx="2">
                  <c:v>0.21301374026817185</c:v>
                </c:pt>
                <c:pt idx="3">
                  <c:v>0.27258276208772614</c:v>
                </c:pt>
                <c:pt idx="4">
                  <c:v>0.27693858742775296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75-4F56-A3F8-5E0377DE8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234976"/>
        <c:axId val="218247936"/>
      </c:barChart>
      <c:catAx>
        <c:axId val="21823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247936"/>
        <c:crosses val="autoZero"/>
        <c:auto val="1"/>
        <c:lblAlgn val="ctr"/>
        <c:lblOffset val="100"/>
        <c:noMultiLvlLbl val="0"/>
      </c:catAx>
      <c:valAx>
        <c:axId val="21824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23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629104</xdr:colOff>
      <xdr:row>36</xdr:row>
      <xdr:rowOff>81643</xdr:rowOff>
    </xdr:from>
    <xdr:to>
      <xdr:col>31</xdr:col>
      <xdr:colOff>564243</xdr:colOff>
      <xdr:row>50</xdr:row>
      <xdr:rowOff>165553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563437-1040-4E46-B039-05CE50000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514350</xdr:colOff>
      <xdr:row>36</xdr:row>
      <xdr:rowOff>57150</xdr:rowOff>
    </xdr:from>
    <xdr:to>
      <xdr:col>39</xdr:col>
      <xdr:colOff>448582</xdr:colOff>
      <xdr:row>50</xdr:row>
      <xdr:rowOff>143781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4DB190-4781-4329-80EA-E248026A5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454</xdr:colOff>
      <xdr:row>78</xdr:row>
      <xdr:rowOff>176439</xdr:rowOff>
    </xdr:from>
    <xdr:to>
      <xdr:col>28</xdr:col>
      <xdr:colOff>645433</xdr:colOff>
      <xdr:row>93</xdr:row>
      <xdr:rowOff>151040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D749C1-D923-424F-AD99-16D14BA11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603250</xdr:colOff>
      <xdr:row>78</xdr:row>
      <xdr:rowOff>158750</xdr:rowOff>
    </xdr:from>
    <xdr:to>
      <xdr:col>38</xdr:col>
      <xdr:colOff>594179</xdr:colOff>
      <xdr:row>93</xdr:row>
      <xdr:rowOff>137886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D82F9B-85A8-41B5-8AF2-75C80838C0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/STUDIES/PASS1B_06m/55_Muscle/PASS1B_GastrocCombined_V1.xlsx" TargetMode="External"/><Relationship Id="rId1" Type="http://schemas.openxmlformats.org/officeDocument/2006/relationships/externalLinkPath" Target="file:///F:/STUDIES/PASS1B_06m/55_Muscle/PASS1B_GastrocCombined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sitiveMode"/>
      <sheetName val="PositiveSampleEvaluation"/>
      <sheetName val="PositiveMode_Corrected"/>
      <sheetName val="NegativeMode"/>
      <sheetName val="NegativeSampleEvaluation"/>
      <sheetName val="CombinedModes"/>
      <sheetName val="Decode"/>
      <sheetName val="unblinded"/>
      <sheetName val="Annotated"/>
      <sheetName val="FCByClass"/>
      <sheetName val="Sheet1"/>
      <sheetName val="Sheet2"/>
      <sheetName val="Sheet3"/>
      <sheetName val="PE"/>
      <sheetName val="PC"/>
      <sheetName val="PC_PE"/>
      <sheetName val="C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1">
          <cell r="AB31" t="str">
            <v>F_C</v>
          </cell>
          <cell r="AD31">
            <v>0.12136436050798689</v>
          </cell>
          <cell r="AG31" t="str">
            <v>M_C</v>
          </cell>
          <cell r="AI31">
            <v>9.420596960442762E-2</v>
          </cell>
        </row>
        <row r="32">
          <cell r="AB32" t="str">
            <v>F_T1</v>
          </cell>
          <cell r="AD32">
            <v>0.1047190258243387</v>
          </cell>
          <cell r="AG32" t="str">
            <v>M_T1</v>
          </cell>
          <cell r="AI32">
            <v>9.5701988982530101E-2</v>
          </cell>
        </row>
        <row r="33">
          <cell r="AB33" t="str">
            <v>F_T2</v>
          </cell>
          <cell r="AD33">
            <v>0.10380036166820439</v>
          </cell>
          <cell r="AG33" t="str">
            <v>M_T2</v>
          </cell>
          <cell r="AI33">
            <v>8.5725854361476617E-2</v>
          </cell>
        </row>
        <row r="34">
          <cell r="AB34" t="str">
            <v>F_T4</v>
          </cell>
          <cell r="AD34">
            <v>0.10326909331426597</v>
          </cell>
          <cell r="AG34" t="str">
            <v>M_T4</v>
          </cell>
          <cell r="AI34">
            <v>9.733815089996091E-2</v>
          </cell>
        </row>
        <row r="35">
          <cell r="AB35" t="str">
            <v>F_T8</v>
          </cell>
          <cell r="AD35">
            <v>9.8154024400099835E-2</v>
          </cell>
          <cell r="AG35" t="str">
            <v>M_T8</v>
          </cell>
          <cell r="AI35">
            <v>9.5375692123071135E-2</v>
          </cell>
        </row>
        <row r="74">
          <cell r="AB74" t="str">
            <v>F_C</v>
          </cell>
          <cell r="AC74">
            <v>0.47993473961472272</v>
          </cell>
          <cell r="AD74">
            <v>0.19793899705919135</v>
          </cell>
          <cell r="AG74" t="str">
            <v>M_C</v>
          </cell>
          <cell r="AH74">
            <v>0.41811504039531727</v>
          </cell>
          <cell r="AI74">
            <v>0.19149450051663922</v>
          </cell>
        </row>
        <row r="75">
          <cell r="AB75" t="str">
            <v>F_T1</v>
          </cell>
          <cell r="AC75">
            <v>0.68689944319569274</v>
          </cell>
          <cell r="AD75">
            <v>0.33456249628383411</v>
          </cell>
          <cell r="AG75" t="str">
            <v>M_T1</v>
          </cell>
          <cell r="AH75">
            <v>0.29487117432411214</v>
          </cell>
          <cell r="AI75">
            <v>0.1330994956858837</v>
          </cell>
        </row>
        <row r="76">
          <cell r="AB76" t="str">
            <v>F_T2</v>
          </cell>
          <cell r="AC76">
            <v>1.3505649838852982</v>
          </cell>
          <cell r="AD76">
            <v>0.71671278994214926</v>
          </cell>
          <cell r="AG76" t="str">
            <v>M_T2</v>
          </cell>
          <cell r="AH76">
            <v>0.41540346010588947</v>
          </cell>
          <cell r="AI76">
            <v>0.21301374026817185</v>
          </cell>
        </row>
        <row r="77">
          <cell r="AB77" t="str">
            <v>F_T4</v>
          </cell>
          <cell r="AC77">
            <v>0.62659093046665326</v>
          </cell>
          <cell r="AD77">
            <v>0.29773069274953912</v>
          </cell>
          <cell r="AG77" t="str">
            <v>M_T4</v>
          </cell>
          <cell r="AH77">
            <v>0.50924835272915447</v>
          </cell>
          <cell r="AI77">
            <v>0.27258276208772614</v>
          </cell>
        </row>
        <row r="78">
          <cell r="AB78" t="str">
            <v>F_T8</v>
          </cell>
          <cell r="AC78">
            <v>0.34417965091393221</v>
          </cell>
          <cell r="AD78">
            <v>0.12888965089497403</v>
          </cell>
          <cell r="AG78" t="str">
            <v>M_T8</v>
          </cell>
          <cell r="AH78">
            <v>0.51894807853465041</v>
          </cell>
          <cell r="AI78">
            <v>0.27693858742775296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87E55-2CE3-4E49-8639-F1EBCCDEEA3F}">
  <dimension ref="A1:CZ78"/>
  <sheetViews>
    <sheetView tabSelected="1" topLeftCell="Z36" zoomScale="110" workbookViewId="0">
      <selection activeCell="AD76" sqref="AD76"/>
    </sheetView>
  </sheetViews>
  <sheetFormatPr baseColWidth="10" defaultColWidth="8.83203125" defaultRowHeight="15" x14ac:dyDescent="0.2"/>
  <cols>
    <col min="7" max="7" width="43.5" customWidth="1"/>
    <col min="28" max="28" width="10.5" customWidth="1"/>
  </cols>
  <sheetData>
    <row r="1" spans="1:10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t="s">
        <v>28</v>
      </c>
      <c r="AD1" t="s">
        <v>28</v>
      </c>
      <c r="AE1" t="s">
        <v>28</v>
      </c>
      <c r="AF1" t="s">
        <v>28</v>
      </c>
      <c r="AG1" t="s">
        <v>28</v>
      </c>
      <c r="AH1" t="s">
        <v>29</v>
      </c>
      <c r="AI1" t="s">
        <v>29</v>
      </c>
      <c r="AJ1" t="s">
        <v>29</v>
      </c>
      <c r="AK1" t="s">
        <v>29</v>
      </c>
      <c r="AL1" t="s">
        <v>29</v>
      </c>
      <c r="AM1" t="s">
        <v>30</v>
      </c>
      <c r="AN1" t="s">
        <v>30</v>
      </c>
      <c r="AO1" t="s">
        <v>30</v>
      </c>
      <c r="AP1" t="s">
        <v>30</v>
      </c>
      <c r="AQ1" t="s">
        <v>30</v>
      </c>
      <c r="AR1" t="s">
        <v>31</v>
      </c>
      <c r="AS1" t="s">
        <v>31</v>
      </c>
      <c r="AT1" t="s">
        <v>31</v>
      </c>
      <c r="AU1" t="s">
        <v>31</v>
      </c>
      <c r="AV1" t="s">
        <v>31</v>
      </c>
      <c r="AW1" t="s">
        <v>32</v>
      </c>
      <c r="AX1" t="s">
        <v>32</v>
      </c>
      <c r="AY1" t="s">
        <v>32</v>
      </c>
      <c r="AZ1" t="s">
        <v>32</v>
      </c>
      <c r="BA1" t="s">
        <v>32</v>
      </c>
      <c r="BB1" t="s">
        <v>33</v>
      </c>
      <c r="BC1" t="s">
        <v>33</v>
      </c>
      <c r="BD1" t="s">
        <v>33</v>
      </c>
      <c r="BE1" t="s">
        <v>33</v>
      </c>
      <c r="BF1" t="s">
        <v>33</v>
      </c>
      <c r="BG1" t="s">
        <v>34</v>
      </c>
      <c r="BH1" t="s">
        <v>34</v>
      </c>
      <c r="BI1" t="s">
        <v>34</v>
      </c>
      <c r="BJ1" t="s">
        <v>34</v>
      </c>
      <c r="BK1" t="s">
        <v>34</v>
      </c>
      <c r="BL1" t="s">
        <v>35</v>
      </c>
      <c r="BM1" t="s">
        <v>35</v>
      </c>
      <c r="BN1" t="s">
        <v>35</v>
      </c>
      <c r="BO1" t="s">
        <v>35</v>
      </c>
      <c r="BP1" t="s">
        <v>35</v>
      </c>
      <c r="BQ1" t="s">
        <v>36</v>
      </c>
      <c r="BR1" t="s">
        <v>36</v>
      </c>
      <c r="BS1" t="s">
        <v>36</v>
      </c>
      <c r="BT1" t="s">
        <v>36</v>
      </c>
      <c r="BU1" t="s">
        <v>36</v>
      </c>
      <c r="BV1" t="s">
        <v>37</v>
      </c>
      <c r="BW1" t="s">
        <v>37</v>
      </c>
      <c r="BX1" t="s">
        <v>37</v>
      </c>
      <c r="BY1" t="s">
        <v>37</v>
      </c>
      <c r="BZ1" t="s">
        <v>37</v>
      </c>
      <c r="CA1" s="2" t="s">
        <v>38</v>
      </c>
      <c r="CB1" s="2" t="s">
        <v>39</v>
      </c>
      <c r="CC1" s="2" t="s">
        <v>40</v>
      </c>
      <c r="CD1" s="2" t="s">
        <v>41</v>
      </c>
      <c r="CE1" s="2" t="s">
        <v>42</v>
      </c>
      <c r="CF1" s="2" t="s">
        <v>43</v>
      </c>
      <c r="CG1" s="2" t="s">
        <v>44</v>
      </c>
      <c r="CH1" s="2" t="s">
        <v>45</v>
      </c>
      <c r="CI1" s="3" t="s">
        <v>46</v>
      </c>
      <c r="CJ1" s="3" t="s">
        <v>47</v>
      </c>
      <c r="CK1" s="3" t="s">
        <v>48</v>
      </c>
      <c r="CL1" s="3" t="s">
        <v>49</v>
      </c>
      <c r="CM1" s="3" t="s">
        <v>50</v>
      </c>
      <c r="CN1" s="3" t="s">
        <v>51</v>
      </c>
      <c r="CO1" s="3" t="s">
        <v>52</v>
      </c>
      <c r="CP1" s="3" t="s">
        <v>53</v>
      </c>
      <c r="CQ1" s="3" t="s">
        <v>54</v>
      </c>
      <c r="CR1" s="3" t="s">
        <v>55</v>
      </c>
      <c r="CS1" s="3" t="s">
        <v>56</v>
      </c>
      <c r="CT1" s="4" t="s">
        <v>57</v>
      </c>
      <c r="CU1" s="3" t="s">
        <v>58</v>
      </c>
      <c r="CV1" s="3" t="s">
        <v>59</v>
      </c>
      <c r="CW1" s="3" t="s">
        <v>60</v>
      </c>
      <c r="CX1" s="3" t="s">
        <v>61</v>
      </c>
      <c r="CY1" s="3" t="s">
        <v>62</v>
      </c>
      <c r="CZ1" s="3" t="s">
        <v>63</v>
      </c>
    </row>
    <row r="2" spans="1:104" x14ac:dyDescent="0.2">
      <c r="A2">
        <v>6</v>
      </c>
      <c r="B2" s="5">
        <v>447</v>
      </c>
      <c r="C2" s="5" t="s">
        <v>64</v>
      </c>
      <c r="D2" s="5" t="s">
        <v>65</v>
      </c>
      <c r="E2" s="5" t="s">
        <v>66</v>
      </c>
      <c r="F2" s="5" t="s">
        <v>67</v>
      </c>
      <c r="G2" s="5" t="s">
        <v>67</v>
      </c>
      <c r="H2" s="5">
        <v>1</v>
      </c>
      <c r="I2" s="5" t="s">
        <v>68</v>
      </c>
      <c r="J2" s="5">
        <v>710.55871999999999</v>
      </c>
      <c r="K2" s="5">
        <v>710.55870000000004</v>
      </c>
      <c r="L2" s="5">
        <v>711.56599659999995</v>
      </c>
      <c r="M2" s="5">
        <v>4.91</v>
      </c>
      <c r="N2" s="5">
        <v>4.91</v>
      </c>
      <c r="O2" s="5"/>
      <c r="P2" s="5" t="s">
        <v>69</v>
      </c>
      <c r="Q2" s="5"/>
      <c r="R2" s="5">
        <v>2</v>
      </c>
      <c r="S2" s="5" t="s">
        <v>70</v>
      </c>
      <c r="T2" s="5" t="s">
        <v>71</v>
      </c>
      <c r="U2" s="5">
        <v>5.982618364728081E-2</v>
      </c>
      <c r="V2" s="5">
        <v>-6.8809631803651945E-3</v>
      </c>
      <c r="W2" s="5">
        <v>5.4247090069073495E-2</v>
      </c>
      <c r="X2" s="5">
        <v>2.4242248008535885E-2</v>
      </c>
      <c r="Y2" s="5">
        <v>0.46811489292228892</v>
      </c>
      <c r="Z2" s="5">
        <v>0.72745440622122703</v>
      </c>
      <c r="AA2" s="5">
        <v>0.87636814539358432</v>
      </c>
      <c r="AB2" s="5">
        <v>0.88293339965282991</v>
      </c>
      <c r="AC2" s="5">
        <v>169230.099950818</v>
      </c>
      <c r="AD2" s="5">
        <v>187037.73504015899</v>
      </c>
      <c r="AE2" s="5">
        <v>177374.846242614</v>
      </c>
      <c r="AF2" s="5">
        <v>168107.23578050101</v>
      </c>
      <c r="AG2" s="5">
        <v>173249.126402097</v>
      </c>
      <c r="AH2" s="5">
        <v>180584.52417880599</v>
      </c>
      <c r="AI2" s="5">
        <v>183833.05291215199</v>
      </c>
      <c r="AJ2" s="5">
        <v>182680.991836181</v>
      </c>
      <c r="AK2" s="5">
        <v>168602.54194700299</v>
      </c>
      <c r="AL2" s="5">
        <v>176080.425634018</v>
      </c>
      <c r="AM2" s="5">
        <v>215107.17179559599</v>
      </c>
      <c r="AN2" s="5">
        <v>163929.214097736</v>
      </c>
      <c r="AO2" s="5">
        <v>162494.08442165999</v>
      </c>
      <c r="AP2" s="5">
        <v>179453.57833739201</v>
      </c>
      <c r="AQ2" s="5">
        <v>172424.77862365</v>
      </c>
      <c r="AR2" s="5">
        <v>179887.52836535199</v>
      </c>
      <c r="AS2" s="5">
        <v>189039.66147765401</v>
      </c>
      <c r="AT2" s="5">
        <v>150127.28649855699</v>
      </c>
      <c r="AU2" s="5">
        <v>189999.622949026</v>
      </c>
      <c r="AV2" s="5">
        <v>158876.797821702</v>
      </c>
      <c r="AW2" s="5">
        <v>180792.60211832399</v>
      </c>
      <c r="AX2" s="5">
        <v>170192.12024991101</v>
      </c>
      <c r="AY2" s="5">
        <v>183035.972737398</v>
      </c>
      <c r="AZ2" s="5">
        <v>168197.13029822599</v>
      </c>
      <c r="BA2" s="5">
        <v>176184.90524031999</v>
      </c>
      <c r="BB2" s="5">
        <v>172924.05415275801</v>
      </c>
      <c r="BC2" s="5">
        <v>170146.383109672</v>
      </c>
      <c r="BD2" s="5">
        <v>181161.06361674101</v>
      </c>
      <c r="BE2" s="5">
        <v>182208.50563486299</v>
      </c>
      <c r="BF2" s="5">
        <v>159733.20268230399</v>
      </c>
      <c r="BG2" s="5">
        <v>161636.32259244099</v>
      </c>
      <c r="BH2" s="5">
        <v>172476.905014396</v>
      </c>
      <c r="BI2" s="5">
        <v>160386.788276857</v>
      </c>
      <c r="BJ2" s="5">
        <v>168130.55293646199</v>
      </c>
      <c r="BK2" s="5">
        <v>169494.63178661701</v>
      </c>
      <c r="BL2" s="5">
        <v>166045.10896410001</v>
      </c>
      <c r="BM2" s="5">
        <v>180021.03054483901</v>
      </c>
      <c r="BN2" s="5">
        <v>172729.77384332501</v>
      </c>
      <c r="BO2" s="5">
        <v>168206.21169612001</v>
      </c>
      <c r="BP2" s="5">
        <v>172520.485992209</v>
      </c>
      <c r="BQ2" s="5">
        <v>175797.50891366799</v>
      </c>
      <c r="BR2" s="5">
        <v>167685.41148350501</v>
      </c>
      <c r="BS2" s="5">
        <v>168937.01274433499</v>
      </c>
      <c r="BT2" s="5">
        <v>165975.475560302</v>
      </c>
      <c r="BU2" s="5">
        <v>177576.14216297801</v>
      </c>
      <c r="BV2" s="5">
        <v>178115.416368106</v>
      </c>
      <c r="BW2" s="5">
        <v>173204.75464207999</v>
      </c>
      <c r="BX2" s="5">
        <v>175268.96234451799</v>
      </c>
      <c r="BY2" s="5">
        <v>159932.55679775</v>
      </c>
      <c r="BZ2" s="5">
        <v>184825.59017599601</v>
      </c>
      <c r="CA2" s="5">
        <v>-4.05566481906399E-2</v>
      </c>
      <c r="CB2" s="5">
        <v>-3.3708800174956509E-3</v>
      </c>
      <c r="CC2" s="5">
        <v>-3.3653119616321239E-2</v>
      </c>
      <c r="CD2" s="5">
        <v>1.9431972522289415E-2</v>
      </c>
      <c r="CE2" s="5">
        <v>0.1862275971774803</v>
      </c>
      <c r="CF2" s="5">
        <v>0.78632773768532505</v>
      </c>
      <c r="CG2" s="5">
        <v>0.67569086636361742</v>
      </c>
      <c r="CH2" s="5">
        <v>0.8624657072098405</v>
      </c>
      <c r="CI2" s="5">
        <v>156978.70797965699</v>
      </c>
      <c r="CJ2" s="6">
        <v>154094.66274096101</v>
      </c>
      <c r="CK2">
        <v>168784.01839195401</v>
      </c>
      <c r="CL2">
        <v>155619.26362784501</v>
      </c>
      <c r="CM2">
        <v>174939.48510691401</v>
      </c>
      <c r="CN2">
        <v>176260.286814063</v>
      </c>
      <c r="CO2">
        <v>172502.472543462</v>
      </c>
      <c r="CP2">
        <v>171497.95025158301</v>
      </c>
      <c r="CQ2">
        <v>169732.68222706701</v>
      </c>
      <c r="CR2">
        <v>177956.97917751601</v>
      </c>
      <c r="CS2">
        <v>177340.325757635</v>
      </c>
      <c r="CT2">
        <v>172000.19255057501</v>
      </c>
      <c r="CU2">
        <v>542.04783429978397</v>
      </c>
      <c r="CV2">
        <v>521.03412036947805</v>
      </c>
      <c r="CW2">
        <v>515.07050999303897</v>
      </c>
      <c r="CX2">
        <v>487.51618911558199</v>
      </c>
      <c r="CY2">
        <v>509.09823320414199</v>
      </c>
      <c r="CZ2">
        <v>521.81522511608296</v>
      </c>
    </row>
    <row r="3" spans="1:104" x14ac:dyDescent="0.2">
      <c r="A3">
        <v>429</v>
      </c>
      <c r="B3" s="5">
        <v>497</v>
      </c>
      <c r="C3" s="5" t="s">
        <v>64</v>
      </c>
      <c r="D3" s="5" t="s">
        <v>72</v>
      </c>
      <c r="E3" s="5" t="s">
        <v>73</v>
      </c>
      <c r="F3" s="5" t="s">
        <v>74</v>
      </c>
      <c r="G3" s="5" t="s">
        <v>74</v>
      </c>
      <c r="H3" s="5">
        <v>2</v>
      </c>
      <c r="I3" s="5" t="s">
        <v>75</v>
      </c>
      <c r="J3" s="5">
        <v>537.51134999999999</v>
      </c>
      <c r="K3" s="5">
        <v>537.51139999999998</v>
      </c>
      <c r="L3" s="5">
        <v>538.51862659999995</v>
      </c>
      <c r="M3" s="5">
        <v>5.1959999999999997</v>
      </c>
      <c r="N3" s="5">
        <v>5.1959999999999997</v>
      </c>
      <c r="O3" s="5">
        <v>1.2066883418485832</v>
      </c>
      <c r="P3" t="s">
        <v>76</v>
      </c>
      <c r="Q3" s="5">
        <v>4.306</v>
      </c>
      <c r="R3" s="5">
        <v>1</v>
      </c>
      <c r="S3" s="5" t="s">
        <v>70</v>
      </c>
      <c r="T3" s="5" t="s">
        <v>71</v>
      </c>
      <c r="U3">
        <f t="shared" ref="U3:U14" si="0">LOG((MEDIAN(AH3:AL3)/MEDIAN(AC3:AG3)),2)</f>
        <v>0.22607068437900354</v>
      </c>
      <c r="V3">
        <f t="shared" ref="V3:V14" si="1">LOG((MEDIAN(AM3:AQ3)/MEDIAN(AC3:AG3)),2)</f>
        <v>2.9263466784583039E-2</v>
      </c>
      <c r="W3">
        <f t="shared" ref="W3:W14" si="2">LOG((MEDIAN(AR3:AV3)/MEDIAN(AC3:AG3)),2)</f>
        <v>-4.1440570643063203E-3</v>
      </c>
      <c r="X3">
        <f t="shared" ref="X3:X14" si="3">LOG((MEDIAN(AW3:BA3)/MEDIAN(AC3:AG3)),2)</f>
        <v>-0.44084320466318311</v>
      </c>
      <c r="Y3">
        <f t="shared" ref="Y3:Y14" si="4">TTEST(AC3:AG3,AH3:AL3,2,2)</f>
        <v>0.37160882906359227</v>
      </c>
      <c r="Z3">
        <f t="shared" ref="Z3:Z14" si="5">TTEST(AC3:AG3,AM3:AQ3,2,2)</f>
        <v>0.80517118528257459</v>
      </c>
      <c r="AA3">
        <f t="shared" ref="AA3:AA14" si="6">TTEST(AC3:AG3,AR3:AV3,2,2)</f>
        <v>0.33717145377179686</v>
      </c>
      <c r="AB3">
        <f t="shared" ref="AB3:AB14" si="7">TTEST(AC3:AG3,AW3:BA3,2,2)</f>
        <v>5.3323378728544597E-2</v>
      </c>
      <c r="AC3" s="5">
        <v>93643.652926034498</v>
      </c>
      <c r="AD3" s="5">
        <v>88184.665505680096</v>
      </c>
      <c r="AE3" s="5">
        <v>98007.093222492593</v>
      </c>
      <c r="AF3" s="5">
        <v>85605.102993256296</v>
      </c>
      <c r="AG3" s="5">
        <v>73909.450403434195</v>
      </c>
      <c r="AH3" s="5">
        <v>76351.256358602695</v>
      </c>
      <c r="AI3" s="5">
        <v>108435.790024303</v>
      </c>
      <c r="AJ3" s="5">
        <v>81061.7852698762</v>
      </c>
      <c r="AK3" s="5">
        <v>108662.37137824101</v>
      </c>
      <c r="AL3" s="5">
        <v>103144.750354027</v>
      </c>
      <c r="AM3" s="5">
        <v>94024.003982267095</v>
      </c>
      <c r="AN3" s="5">
        <v>47071.896711282498</v>
      </c>
      <c r="AO3" s="5">
        <v>108153.015730869</v>
      </c>
      <c r="AP3" s="5">
        <v>89991.657979040101</v>
      </c>
      <c r="AQ3" s="5">
        <v>86090.307751183107</v>
      </c>
      <c r="AR3" s="5">
        <v>72428.191691411601</v>
      </c>
      <c r="AS3" s="5">
        <v>87931.723669672094</v>
      </c>
      <c r="AT3" s="5">
        <v>39544.132311158297</v>
      </c>
      <c r="AU3" s="5">
        <v>93871.085805072595</v>
      </c>
      <c r="AV3" s="5">
        <v>90337.530407014696</v>
      </c>
      <c r="AW3" s="5">
        <v>55920.604169976898</v>
      </c>
      <c r="AX3" s="5">
        <v>87854.806535606505</v>
      </c>
      <c r="AY3" s="5">
        <v>84027.073333941997</v>
      </c>
      <c r="AZ3" s="5">
        <v>64965.987456108996</v>
      </c>
      <c r="BA3" s="5">
        <v>51700.350265043198</v>
      </c>
      <c r="BB3" s="5">
        <v>103911.595737576</v>
      </c>
      <c r="BC3" s="5">
        <v>70557.144907920505</v>
      </c>
      <c r="BD3" s="5">
        <v>138677.58334490101</v>
      </c>
      <c r="BE3" s="5">
        <v>99345.666325946993</v>
      </c>
      <c r="BF3" s="5">
        <v>77327.993321873306</v>
      </c>
      <c r="BG3" s="5">
        <v>63698.462360957601</v>
      </c>
      <c r="BH3" s="5">
        <v>92754.868372650802</v>
      </c>
      <c r="BI3" s="5">
        <v>69131.899119676702</v>
      </c>
      <c r="BJ3" s="5">
        <v>80394.120681922403</v>
      </c>
      <c r="BK3" s="5">
        <v>76412.623989701198</v>
      </c>
      <c r="BL3" s="5">
        <v>91272.135547643004</v>
      </c>
      <c r="BM3" s="5">
        <v>69128.605850168897</v>
      </c>
      <c r="BN3" s="5">
        <v>89312.976486182801</v>
      </c>
      <c r="BO3" s="5">
        <v>59869.157375034803</v>
      </c>
      <c r="BP3" s="5">
        <v>106999.813396624</v>
      </c>
      <c r="BQ3" s="5">
        <v>120582.60549572999</v>
      </c>
      <c r="BR3" s="5">
        <v>76785.119156167304</v>
      </c>
      <c r="BS3" s="5">
        <v>73365.115595269599</v>
      </c>
      <c r="BT3" s="5">
        <v>73413.911087138506</v>
      </c>
      <c r="BU3" s="5">
        <v>100399.54346471</v>
      </c>
      <c r="BV3" s="5">
        <v>94856.696596395806</v>
      </c>
      <c r="BW3" s="5">
        <v>83505.020466593094</v>
      </c>
      <c r="BX3" s="5">
        <v>54775.978720948398</v>
      </c>
      <c r="BY3" s="5">
        <v>64519.798729066897</v>
      </c>
      <c r="BZ3" s="5">
        <v>53660.801923911997</v>
      </c>
      <c r="CA3">
        <f t="shared" ref="CA3:CA14" si="8">LOG((MEDIAN(BG3:BK3)/MEDIAN(BB3:BF3)),2)</f>
        <v>-0.3786460323941897</v>
      </c>
      <c r="CB3">
        <f t="shared" ref="CB3:CB14" si="9">LOG((MEDIAN(BL3:BP3)/MEDIAN(BB3:BF3)),2)</f>
        <v>-0.15358723232134458</v>
      </c>
      <c r="CC3">
        <f t="shared" ref="CC3:CC14" si="10">LOG((MEDIAN(BQ3:BU3)/MEDIAN(BB3:BF3)),2)</f>
        <v>-0.3716302895063428</v>
      </c>
      <c r="CD3">
        <f t="shared" ref="CD3:CD14" si="11">LOG((MEDIAN(BV3:BZ3)/MEDIAN(BB3:BF3)),2)</f>
        <v>-0.62271509737022612</v>
      </c>
      <c r="CE3" s="7">
        <f t="shared" ref="CE3:CE14" si="12">TTEST(BB3:BF3,BG3:BK3,2,2)</f>
        <v>0.13645145126822389</v>
      </c>
      <c r="CF3" s="7">
        <f t="shared" ref="CF3:CF14" si="13">TTEST(BB3:BF3,BL3:BP3,2,2)</f>
        <v>0.34617522304562387</v>
      </c>
      <c r="CG3" s="7">
        <f t="shared" ref="CG3:CG14" si="14">TTEST(BB3:BF3,BQ3:BU3,2,2)</f>
        <v>0.5684519011504926</v>
      </c>
      <c r="CH3" s="7">
        <f t="shared" ref="CH3:CH14" si="15">TTEST(BB3:BF3,BV3:BZ3,2,2)</f>
        <v>9.233383030136548E-2</v>
      </c>
      <c r="CI3" s="5">
        <v>93203.413623466797</v>
      </c>
      <c r="CJ3" s="5">
        <v>93144.776606140396</v>
      </c>
      <c r="CK3" s="5">
        <v>75983.049382785903</v>
      </c>
      <c r="CL3" s="5">
        <v>77640.085699604999</v>
      </c>
      <c r="CM3" s="5">
        <v>86301.907729505401</v>
      </c>
      <c r="CN3" s="5">
        <v>91664.004955775701</v>
      </c>
      <c r="CO3" s="5">
        <v>77556.666457747997</v>
      </c>
      <c r="CP3" s="5">
        <v>82234.530454286694</v>
      </c>
      <c r="CQ3" s="5">
        <v>98626.115033179405</v>
      </c>
      <c r="CR3" s="5">
        <v>78133.900108983493</v>
      </c>
      <c r="CS3" s="5">
        <v>89068.208262420594</v>
      </c>
      <c r="CT3" s="5">
        <v>85578.156140189894</v>
      </c>
      <c r="CU3" s="5">
        <v>603.78503699317105</v>
      </c>
      <c r="CV3" s="5">
        <v>544.63833086536499</v>
      </c>
      <c r="CW3" s="5">
        <v>609.10936331949597</v>
      </c>
      <c r="CX3" s="5">
        <v>646.45620736554201</v>
      </c>
      <c r="CY3" s="5">
        <v>537.29407529502396</v>
      </c>
      <c r="CZ3" s="6">
        <v>616.745434154196</v>
      </c>
    </row>
    <row r="4" spans="1:104" x14ac:dyDescent="0.2">
      <c r="A4">
        <v>428</v>
      </c>
      <c r="B4" s="5">
        <v>496</v>
      </c>
      <c r="C4" s="5" t="s">
        <v>64</v>
      </c>
      <c r="D4" s="5" t="s">
        <v>77</v>
      </c>
      <c r="E4" s="5" t="s">
        <v>78</v>
      </c>
      <c r="F4" s="5" t="s">
        <v>79</v>
      </c>
      <c r="G4" s="5" t="s">
        <v>79</v>
      </c>
      <c r="H4" s="5">
        <v>2</v>
      </c>
      <c r="I4" s="5" t="s">
        <v>80</v>
      </c>
      <c r="J4" s="5">
        <v>565.54312000000004</v>
      </c>
      <c r="K4" s="5">
        <v>565.54309999999998</v>
      </c>
      <c r="L4" s="5">
        <v>566.5503966</v>
      </c>
      <c r="M4" s="5">
        <v>6.1689999999999996</v>
      </c>
      <c r="N4" s="5">
        <v>6.1689999999999996</v>
      </c>
      <c r="O4" s="5">
        <v>1.4326521133302368</v>
      </c>
      <c r="P4" t="s">
        <v>76</v>
      </c>
      <c r="Q4" s="5">
        <v>4.306</v>
      </c>
      <c r="R4" s="5">
        <v>3</v>
      </c>
      <c r="S4" s="5" t="s">
        <v>70</v>
      </c>
      <c r="T4" s="5" t="s">
        <v>71</v>
      </c>
      <c r="U4">
        <f t="shared" si="0"/>
        <v>-7.2277249402853433E-2</v>
      </c>
      <c r="V4">
        <f t="shared" si="1"/>
        <v>-9.3063722665216578E-2</v>
      </c>
      <c r="W4">
        <f t="shared" si="2"/>
        <v>-2.2639790020961253E-2</v>
      </c>
      <c r="X4">
        <f t="shared" si="3"/>
        <v>2.3762021134809179E-2</v>
      </c>
      <c r="Y4">
        <f t="shared" si="4"/>
        <v>0.89653853640223735</v>
      </c>
      <c r="Z4">
        <f t="shared" si="5"/>
        <v>0.26452273953729538</v>
      </c>
      <c r="AA4">
        <f t="shared" si="6"/>
        <v>0.78511556680077899</v>
      </c>
      <c r="AB4">
        <f t="shared" si="7"/>
        <v>0.94384888363040731</v>
      </c>
      <c r="AC4" s="5">
        <v>5146919.4953664104</v>
      </c>
      <c r="AD4" s="5">
        <v>5237005.9617731096</v>
      </c>
      <c r="AE4" s="5">
        <v>5316014.6417010399</v>
      </c>
      <c r="AF4" s="5">
        <v>4339440.5821635397</v>
      </c>
      <c r="AG4" s="5">
        <v>4651624.6135584395</v>
      </c>
      <c r="AH4" s="5">
        <v>4685820.13497236</v>
      </c>
      <c r="AI4" s="5">
        <v>4895417.7172013996</v>
      </c>
      <c r="AJ4" s="5">
        <v>4681335.1320831701</v>
      </c>
      <c r="AK4" s="5">
        <v>5375399.8337819697</v>
      </c>
      <c r="AL4" s="5">
        <v>4900310.5155777801</v>
      </c>
      <c r="AM4" s="5">
        <v>4825389.8164010895</v>
      </c>
      <c r="AN4" s="5">
        <v>3375569.82212249</v>
      </c>
      <c r="AO4" s="5">
        <v>4231421.0131673599</v>
      </c>
      <c r="AP4" s="5">
        <v>4994904.5558836702</v>
      </c>
      <c r="AQ4" s="5">
        <v>5054846.3213168401</v>
      </c>
      <c r="AR4" s="5">
        <v>5066780.8385156598</v>
      </c>
      <c r="AS4" s="5">
        <v>5975822.4813179905</v>
      </c>
      <c r="AT4" s="5">
        <v>4175441.7163320398</v>
      </c>
      <c r="AU4" s="5">
        <v>6035337.8319053901</v>
      </c>
      <c r="AV4" s="5">
        <v>4086494.2699465002</v>
      </c>
      <c r="AW4" s="5">
        <v>5762307.9469338702</v>
      </c>
      <c r="AX4" s="5">
        <v>5568257.0271835802</v>
      </c>
      <c r="AY4" s="5">
        <v>5232394.2108306503</v>
      </c>
      <c r="AZ4" s="5">
        <v>4268939.9168858901</v>
      </c>
      <c r="BA4" s="5">
        <v>4004335.8091343301</v>
      </c>
      <c r="BB4" s="5">
        <v>6086825.0114656696</v>
      </c>
      <c r="BC4" s="5">
        <v>4881525.3229951402</v>
      </c>
      <c r="BD4" s="5">
        <v>6394636.0462725405</v>
      </c>
      <c r="BE4" s="5">
        <v>6766292.6989953099</v>
      </c>
      <c r="BF4" s="5">
        <v>4112091.7065252</v>
      </c>
      <c r="BG4" s="5">
        <v>3908614.6174657601</v>
      </c>
      <c r="BH4" s="5">
        <v>5078510.8855468202</v>
      </c>
      <c r="BI4" s="5">
        <v>3293782.6983760102</v>
      </c>
      <c r="BJ4" s="5">
        <v>4256458.5169297904</v>
      </c>
      <c r="BK4" s="5">
        <v>3647905.86832783</v>
      </c>
      <c r="BL4" s="5">
        <v>4744578.0448801601</v>
      </c>
      <c r="BM4" s="5">
        <v>4403960.5470409105</v>
      </c>
      <c r="BN4" s="5">
        <v>3666294.1578937098</v>
      </c>
      <c r="BO4" s="5">
        <v>3716095.3585640402</v>
      </c>
      <c r="BP4" s="5">
        <v>5492699.9849396497</v>
      </c>
      <c r="BQ4" s="5">
        <v>6370307.2588568702</v>
      </c>
      <c r="BR4" s="5">
        <v>4251649.3575030696</v>
      </c>
      <c r="BS4" s="5">
        <v>5008399.3782483302</v>
      </c>
      <c r="BT4" s="5">
        <v>4537112.6864850996</v>
      </c>
      <c r="BU4" s="5">
        <v>6336259.1972123003</v>
      </c>
      <c r="BV4" s="5">
        <v>5761007.89755305</v>
      </c>
      <c r="BW4" s="5">
        <v>4631732.4617860699</v>
      </c>
      <c r="BX4" s="5">
        <v>4022663.64539658</v>
      </c>
      <c r="BY4" s="5">
        <v>3599648.9617550699</v>
      </c>
      <c r="BZ4" s="5">
        <v>5372285.4825386601</v>
      </c>
      <c r="CA4">
        <f t="shared" si="8"/>
        <v>-0.63903254630786877</v>
      </c>
      <c r="CB4">
        <f t="shared" si="9"/>
        <v>-0.46688834619998737</v>
      </c>
      <c r="CC4">
        <f t="shared" si="10"/>
        <v>-0.28134028094745894</v>
      </c>
      <c r="CD4">
        <f t="shared" si="11"/>
        <v>-0.39413796799406609</v>
      </c>
      <c r="CE4" s="7">
        <f t="shared" si="12"/>
        <v>2.4554452478040455E-2</v>
      </c>
      <c r="CF4" s="7">
        <f t="shared" si="13"/>
        <v>7.2998934979301114E-2</v>
      </c>
      <c r="CG4" s="7">
        <f t="shared" si="14"/>
        <v>0.61713116471817797</v>
      </c>
      <c r="CH4" s="7">
        <f t="shared" si="15"/>
        <v>0.16787268106886671</v>
      </c>
      <c r="CI4" s="5">
        <v>3585950.58482634</v>
      </c>
      <c r="CJ4" s="5">
        <v>3516726.9860068299</v>
      </c>
      <c r="CK4" s="5">
        <v>4027847.68739586</v>
      </c>
      <c r="CL4" s="5">
        <v>3950393.3059511301</v>
      </c>
      <c r="CM4" s="5">
        <v>5123893.6872375403</v>
      </c>
      <c r="CN4" s="5">
        <v>4849155.2430026401</v>
      </c>
      <c r="CO4" s="5">
        <v>4924057.7094851201</v>
      </c>
      <c r="CP4" s="5">
        <v>4905746.8695527604</v>
      </c>
      <c r="CQ4" s="5">
        <v>4787501.2250744002</v>
      </c>
      <c r="CR4" s="5">
        <v>4927610.3403856596</v>
      </c>
      <c r="CS4" s="5">
        <v>4878456.5622292599</v>
      </c>
      <c r="CT4" s="5">
        <v>5095865.6687436299</v>
      </c>
      <c r="CU4" s="5">
        <v>1787.27351832209</v>
      </c>
      <c r="CV4" s="5">
        <v>3237.0372932262399</v>
      </c>
      <c r="CW4" s="5">
        <v>1721.1103742017799</v>
      </c>
      <c r="CX4" s="5">
        <v>2407.9824289350299</v>
      </c>
      <c r="CY4" s="5">
        <v>3090.4782766005401</v>
      </c>
      <c r="CZ4" s="6">
        <v>12590.4363405769</v>
      </c>
    </row>
    <row r="5" spans="1:104" x14ac:dyDescent="0.2">
      <c r="A5">
        <v>427</v>
      </c>
      <c r="B5" s="5">
        <v>495</v>
      </c>
      <c r="C5" s="5" t="s">
        <v>64</v>
      </c>
      <c r="D5" s="5" t="s">
        <v>81</v>
      </c>
      <c r="E5" s="5" t="s">
        <v>82</v>
      </c>
      <c r="F5" s="5" t="s">
        <v>83</v>
      </c>
      <c r="G5" s="5" t="s">
        <v>83</v>
      </c>
      <c r="H5" s="5">
        <v>2</v>
      </c>
      <c r="I5" s="5" t="s">
        <v>84</v>
      </c>
      <c r="J5" s="5">
        <v>621.60528999999997</v>
      </c>
      <c r="K5" s="5">
        <v>621.60530000000006</v>
      </c>
      <c r="L5" s="5">
        <v>622.61256659999992</v>
      </c>
      <c r="M5" s="5">
        <v>7.0490000000000004</v>
      </c>
      <c r="N5" s="5">
        <v>7.0490000000000004</v>
      </c>
      <c r="O5" s="5">
        <v>1.6370181142591733</v>
      </c>
      <c r="P5" t="s">
        <v>76</v>
      </c>
      <c r="Q5" s="5">
        <v>4.306</v>
      </c>
      <c r="R5" s="5">
        <v>6</v>
      </c>
      <c r="S5" s="5" t="s">
        <v>70</v>
      </c>
      <c r="T5" s="5" t="s">
        <v>71</v>
      </c>
      <c r="U5">
        <f t="shared" si="0"/>
        <v>-0.37558592620575493</v>
      </c>
      <c r="V5">
        <f t="shared" si="1"/>
        <v>-0.32109991747354527</v>
      </c>
      <c r="W5">
        <f t="shared" si="2"/>
        <v>0.78493505808000863</v>
      </c>
      <c r="X5">
        <f t="shared" si="3"/>
        <v>8.7532832617640846E-2</v>
      </c>
      <c r="Y5">
        <f t="shared" si="4"/>
        <v>0.99042455192100154</v>
      </c>
      <c r="Z5">
        <f t="shared" si="5"/>
        <v>0.47342562587940229</v>
      </c>
      <c r="AA5">
        <f t="shared" si="6"/>
        <v>0.11312075624515248</v>
      </c>
      <c r="AB5">
        <f t="shared" si="7"/>
        <v>0.85441035270072108</v>
      </c>
      <c r="AC5" s="5">
        <v>1616744.8700945701</v>
      </c>
      <c r="AD5" s="5">
        <v>843388.48892054695</v>
      </c>
      <c r="AE5" s="5">
        <v>825097.68538476701</v>
      </c>
      <c r="AF5" s="5">
        <v>556583.85183394502</v>
      </c>
      <c r="AG5" s="5">
        <v>845343.950350923</v>
      </c>
      <c r="AH5" s="5">
        <v>485827.95913875999</v>
      </c>
      <c r="AI5" s="5">
        <v>1712614.21292846</v>
      </c>
      <c r="AJ5" s="5">
        <v>454856.242622755</v>
      </c>
      <c r="AK5" s="5">
        <v>1403230.35669395</v>
      </c>
      <c r="AL5" s="5">
        <v>650077.35726764298</v>
      </c>
      <c r="AM5" s="5">
        <v>557730.71541689395</v>
      </c>
      <c r="AN5" s="5">
        <v>675098.21927371097</v>
      </c>
      <c r="AO5" s="5">
        <v>478350.849134574</v>
      </c>
      <c r="AP5" s="5">
        <v>795993.86260529398</v>
      </c>
      <c r="AQ5" s="5">
        <v>1310633.38540493</v>
      </c>
      <c r="AR5" s="5">
        <v>1388467.6332145899</v>
      </c>
      <c r="AS5" s="5">
        <v>1597229.2146178</v>
      </c>
      <c r="AT5" s="5">
        <v>1736782.0566795501</v>
      </c>
      <c r="AU5" s="5">
        <v>1453170.81259773</v>
      </c>
      <c r="AV5" s="5">
        <v>727846.95761273801</v>
      </c>
      <c r="AW5" s="5">
        <v>1263635.6921940499</v>
      </c>
      <c r="AX5" s="5">
        <v>896143.74422689399</v>
      </c>
      <c r="AY5" s="5">
        <v>1177149.9046718101</v>
      </c>
      <c r="AZ5" s="5">
        <v>717588.79241140303</v>
      </c>
      <c r="BA5" s="5">
        <v>828509.54307437502</v>
      </c>
      <c r="BB5" s="5">
        <v>1104983.4051604799</v>
      </c>
      <c r="BC5" s="5">
        <v>917134.211975532</v>
      </c>
      <c r="BD5" s="5">
        <v>699438.96417162498</v>
      </c>
      <c r="BE5" s="5">
        <v>1339745.68525945</v>
      </c>
      <c r="BF5" s="5">
        <v>471804.13681047002</v>
      </c>
      <c r="BG5" s="5">
        <v>982966.82123144704</v>
      </c>
      <c r="BH5" s="5">
        <v>1344093.7052945599</v>
      </c>
      <c r="BI5" s="5">
        <v>333428.27175293898</v>
      </c>
      <c r="BJ5" s="5">
        <v>645083.56262829795</v>
      </c>
      <c r="BK5" s="5">
        <v>729410.056965539</v>
      </c>
      <c r="BL5" s="5">
        <v>1091209.4815545599</v>
      </c>
      <c r="BM5" s="5">
        <v>723377.84640300903</v>
      </c>
      <c r="BN5" s="5">
        <v>809251.48850328894</v>
      </c>
      <c r="BO5" s="5">
        <v>745886.97112864605</v>
      </c>
      <c r="BP5" s="5">
        <v>546575.47239430796</v>
      </c>
      <c r="BQ5" s="5">
        <v>849716.04411771405</v>
      </c>
      <c r="BR5" s="5">
        <v>940612.66498298699</v>
      </c>
      <c r="BS5" s="5">
        <v>1702273.63139854</v>
      </c>
      <c r="BT5" s="5">
        <v>1045436.3885787301</v>
      </c>
      <c r="BU5" s="5">
        <v>1026356.39296827</v>
      </c>
      <c r="BV5" s="5">
        <v>1518495.8690031799</v>
      </c>
      <c r="BW5" s="5">
        <v>1085656.9675142299</v>
      </c>
      <c r="BX5" s="5">
        <v>592971.21754951403</v>
      </c>
      <c r="BY5" s="5">
        <v>860245.17442091997</v>
      </c>
      <c r="BZ5" s="5">
        <v>636887.70054484298</v>
      </c>
      <c r="CA5">
        <f t="shared" si="8"/>
        <v>-0.33040277957577108</v>
      </c>
      <c r="CB5">
        <f t="shared" si="9"/>
        <v>-0.29817584445818307</v>
      </c>
      <c r="CC5">
        <f t="shared" si="10"/>
        <v>0.16232700463689306</v>
      </c>
      <c r="CD5">
        <f t="shared" si="11"/>
        <v>-9.2384976858120096E-2</v>
      </c>
      <c r="CE5" s="7">
        <f t="shared" si="12"/>
        <v>0.67301321578126094</v>
      </c>
      <c r="CF5" s="7">
        <f t="shared" si="13"/>
        <v>0.50189809458485701</v>
      </c>
      <c r="CG5" s="7">
        <f t="shared" si="14"/>
        <v>0.36372743045196487</v>
      </c>
      <c r="CH5" s="7">
        <f t="shared" si="15"/>
        <v>0.89076172064353021</v>
      </c>
      <c r="CI5" s="5">
        <v>94113.582898617096</v>
      </c>
      <c r="CJ5" s="5">
        <v>147494.008047251</v>
      </c>
      <c r="CK5" s="5">
        <v>117967.644937127</v>
      </c>
      <c r="CL5" s="5">
        <v>189130.09630148701</v>
      </c>
      <c r="CM5" s="5">
        <v>1097185.1459043699</v>
      </c>
      <c r="CN5" s="5">
        <v>958301.04691067198</v>
      </c>
      <c r="CO5" s="5">
        <v>930063.75751331903</v>
      </c>
      <c r="CP5" s="5">
        <v>857833.69960962795</v>
      </c>
      <c r="CQ5" s="5">
        <v>865881.265705236</v>
      </c>
      <c r="CR5" s="5">
        <v>947289.15099453402</v>
      </c>
      <c r="CS5" s="5">
        <v>974865.14394763496</v>
      </c>
      <c r="CT5" s="5">
        <v>1123635.0091588499</v>
      </c>
      <c r="CU5" s="5">
        <v>1377.8513225900101</v>
      </c>
      <c r="CV5" s="5">
        <v>1214.57902137268</v>
      </c>
      <c r="CW5" s="5">
        <v>1709.5512928629701</v>
      </c>
      <c r="CX5" s="5">
        <v>1235.2951794836399</v>
      </c>
      <c r="CY5" s="5">
        <v>1587.6223587018101</v>
      </c>
      <c r="CZ5" s="6">
        <v>2267.8715727900199</v>
      </c>
    </row>
    <row r="6" spans="1:104" x14ac:dyDescent="0.2">
      <c r="A6">
        <v>426</v>
      </c>
      <c r="B6" s="5">
        <v>494</v>
      </c>
      <c r="C6" s="5" t="s">
        <v>64</v>
      </c>
      <c r="D6" s="5" t="s">
        <v>85</v>
      </c>
      <c r="E6" s="5" t="s">
        <v>86</v>
      </c>
      <c r="F6" s="5" t="s">
        <v>87</v>
      </c>
      <c r="G6" s="5" t="s">
        <v>87</v>
      </c>
      <c r="H6" s="5">
        <v>2</v>
      </c>
      <c r="I6" s="5" t="s">
        <v>88</v>
      </c>
      <c r="J6" s="5">
        <v>635.62108999999998</v>
      </c>
      <c r="K6" s="5">
        <v>635.62109999999996</v>
      </c>
      <c r="L6" s="5">
        <v>636.62836659999994</v>
      </c>
      <c r="M6" s="5">
        <v>7.2080000000000002</v>
      </c>
      <c r="N6" s="5">
        <v>7.2080000000000002</v>
      </c>
      <c r="O6" s="5">
        <v>1.6739433348815607</v>
      </c>
      <c r="P6" t="s">
        <v>76</v>
      </c>
      <c r="Q6" s="5">
        <v>4.306</v>
      </c>
      <c r="R6" s="5">
        <v>4</v>
      </c>
      <c r="S6" s="5" t="s">
        <v>70</v>
      </c>
      <c r="T6" s="5" t="s">
        <v>71</v>
      </c>
      <c r="U6">
        <f t="shared" si="0"/>
        <v>0.36554711192128214</v>
      </c>
      <c r="V6">
        <f t="shared" si="1"/>
        <v>0.44865649256323448</v>
      </c>
      <c r="W6">
        <f t="shared" si="2"/>
        <v>0.64327966143730464</v>
      </c>
      <c r="X6">
        <f>LOG((MEDIAN(AW6:BA6)/MEDIAN(AC6:AG6)),2)</f>
        <v>0.46818687404450143</v>
      </c>
      <c r="Y6">
        <f t="shared" si="4"/>
        <v>0.18312688418405984</v>
      </c>
      <c r="Z6">
        <f t="shared" si="5"/>
        <v>6.5766422582278855E-2</v>
      </c>
      <c r="AA6">
        <f t="shared" si="6"/>
        <v>0.11070477556454872</v>
      </c>
      <c r="AB6">
        <f t="shared" si="7"/>
        <v>4.3903449705160304E-3</v>
      </c>
      <c r="AC6" s="5">
        <v>214949.06999367301</v>
      </c>
      <c r="AD6" s="5">
        <v>280304.51253871201</v>
      </c>
      <c r="AE6" s="5">
        <v>221550.39892329299</v>
      </c>
      <c r="AF6" s="5">
        <v>215287.43012068301</v>
      </c>
      <c r="AG6" s="5">
        <v>272261.76433182298</v>
      </c>
      <c r="AH6" s="5">
        <v>285438.915000076</v>
      </c>
      <c r="AI6" s="5">
        <v>225207.98950491901</v>
      </c>
      <c r="AJ6" s="5">
        <v>310035.87249879102</v>
      </c>
      <c r="AK6" s="5">
        <v>363031.85691939102</v>
      </c>
      <c r="AL6" s="5">
        <v>233900.433048037</v>
      </c>
      <c r="AM6" s="5">
        <v>357192.346035122</v>
      </c>
      <c r="AN6" s="5">
        <v>218970.62353696401</v>
      </c>
      <c r="AO6" s="5">
        <v>302365.05570757401</v>
      </c>
      <c r="AP6" s="5">
        <v>338312.85126249702</v>
      </c>
      <c r="AQ6" s="5">
        <v>286285.12652003998</v>
      </c>
      <c r="AR6" s="5">
        <v>346486.41751359397</v>
      </c>
      <c r="AS6" s="5">
        <v>346034.18885033502</v>
      </c>
      <c r="AT6" s="5">
        <v>198169.74304509099</v>
      </c>
      <c r="AU6" s="5">
        <v>360748.38254432101</v>
      </c>
      <c r="AV6" s="5">
        <v>262932.70937631</v>
      </c>
      <c r="AW6" s="5">
        <v>337301.94086162501</v>
      </c>
      <c r="AX6" s="5">
        <v>306486.13259505603</v>
      </c>
      <c r="AY6" s="5">
        <v>288381.36823596299</v>
      </c>
      <c r="AZ6" s="5">
        <v>290564.46684048499</v>
      </c>
      <c r="BA6" s="5">
        <v>337512.626529373</v>
      </c>
      <c r="BB6" s="5">
        <v>323235.56483718898</v>
      </c>
      <c r="BC6" s="5">
        <v>274594.60652164399</v>
      </c>
      <c r="BD6" s="5">
        <v>285697.728566779</v>
      </c>
      <c r="BE6" s="5">
        <v>282767.74246349599</v>
      </c>
      <c r="BF6" s="5">
        <v>193025.451879431</v>
      </c>
      <c r="BG6" s="5">
        <v>198376.27931036201</v>
      </c>
      <c r="BH6" s="5">
        <v>254884.92331516001</v>
      </c>
      <c r="BI6" s="5">
        <v>178706.41202372601</v>
      </c>
      <c r="BJ6" s="5">
        <v>208041.66145178699</v>
      </c>
      <c r="BK6" s="5">
        <v>193153.372997759</v>
      </c>
      <c r="BL6" s="5">
        <v>245038.668002886</v>
      </c>
      <c r="BM6" s="5">
        <v>244669.28818240101</v>
      </c>
      <c r="BN6" s="5">
        <v>200121.84582781699</v>
      </c>
      <c r="BO6" s="5">
        <v>224236.80790005301</v>
      </c>
      <c r="BP6" s="5">
        <v>291273.13283976202</v>
      </c>
      <c r="BQ6" s="5">
        <v>301674.65015331301</v>
      </c>
      <c r="BR6" s="5">
        <v>260983.63456588099</v>
      </c>
      <c r="BS6" s="5">
        <v>244560.20682311701</v>
      </c>
      <c r="BT6" s="5">
        <v>211050.57292155401</v>
      </c>
      <c r="BU6" s="5">
        <v>321141.71904657601</v>
      </c>
      <c r="BV6" s="5">
        <v>275511.37314253702</v>
      </c>
      <c r="BW6" s="5">
        <v>337366.33296561002</v>
      </c>
      <c r="BX6" s="5">
        <v>261289.437794867</v>
      </c>
      <c r="BY6" s="5">
        <v>237161.62770359701</v>
      </c>
      <c r="BZ6" s="5">
        <v>346975.580176396</v>
      </c>
      <c r="CA6">
        <f t="shared" si="8"/>
        <v>-0.51137802308560021</v>
      </c>
      <c r="CB6">
        <f t="shared" si="9"/>
        <v>-0.20878452975820763</v>
      </c>
      <c r="CC6">
        <f t="shared" si="10"/>
        <v>-0.11565820706155146</v>
      </c>
      <c r="CD6">
        <f t="shared" si="11"/>
        <v>-3.7505675333507175E-2</v>
      </c>
      <c r="CE6" s="7">
        <f t="shared" si="12"/>
        <v>3.1328978409679499E-2</v>
      </c>
      <c r="CF6" s="7">
        <f t="shared" si="13"/>
        <v>0.27285051333582189</v>
      </c>
      <c r="CG6" s="7">
        <f t="shared" si="14"/>
        <v>0.89464875637368968</v>
      </c>
      <c r="CH6" s="7">
        <f t="shared" si="15"/>
        <v>0.53307357887048035</v>
      </c>
      <c r="CI6" s="5">
        <v>146306.02026380599</v>
      </c>
      <c r="CJ6" s="5">
        <v>149872.038037083</v>
      </c>
      <c r="CK6" s="5">
        <v>194464.368089834</v>
      </c>
      <c r="CL6" s="5">
        <v>211120.80741972101</v>
      </c>
      <c r="CM6" s="5">
        <v>263702.814923117</v>
      </c>
      <c r="CN6" s="5">
        <v>268654.371235431</v>
      </c>
      <c r="CO6" s="5">
        <v>277260.34405982</v>
      </c>
      <c r="CP6" s="5">
        <v>255630.031046385</v>
      </c>
      <c r="CQ6" s="5">
        <v>275313.13336184301</v>
      </c>
      <c r="CR6" s="5">
        <v>283916.72706728597</v>
      </c>
      <c r="CS6" s="5">
        <v>267740.91299389198</v>
      </c>
      <c r="CT6" s="5">
        <v>259434.67249348201</v>
      </c>
      <c r="CU6" s="5">
        <v>709.94664441979603</v>
      </c>
      <c r="CV6" s="5">
        <v>5197.9963091631898</v>
      </c>
      <c r="CW6" s="5">
        <v>8718.0477390527303</v>
      </c>
      <c r="CX6" s="5">
        <v>745.67798859954803</v>
      </c>
      <c r="CY6" s="5">
        <v>8552.1403225271406</v>
      </c>
      <c r="CZ6" s="6">
        <v>9625.5756767835392</v>
      </c>
    </row>
    <row r="7" spans="1:104" x14ac:dyDescent="0.2">
      <c r="A7">
        <v>425</v>
      </c>
      <c r="B7" s="5">
        <v>493</v>
      </c>
      <c r="C7" s="5" t="s">
        <v>64</v>
      </c>
      <c r="D7" s="5" t="s">
        <v>89</v>
      </c>
      <c r="E7" s="5" t="s">
        <v>90</v>
      </c>
      <c r="F7" s="5" t="s">
        <v>91</v>
      </c>
      <c r="G7" s="5" t="s">
        <v>91</v>
      </c>
      <c r="H7" s="5">
        <v>2</v>
      </c>
      <c r="I7" s="5" t="s">
        <v>92</v>
      </c>
      <c r="J7" s="5">
        <v>649.63683000000003</v>
      </c>
      <c r="K7" s="5">
        <v>649.63679999999999</v>
      </c>
      <c r="L7" s="5">
        <v>650.64410659999999</v>
      </c>
      <c r="M7" s="5">
        <v>7.3730000000000002</v>
      </c>
      <c r="N7" s="5">
        <v>7.3730000000000002</v>
      </c>
      <c r="O7" s="5">
        <v>1.7122619600557363</v>
      </c>
      <c r="P7" t="s">
        <v>76</v>
      </c>
      <c r="Q7" s="5">
        <v>4.306</v>
      </c>
      <c r="R7" s="5">
        <v>3</v>
      </c>
      <c r="S7" s="5" t="s">
        <v>70</v>
      </c>
      <c r="T7" s="5" t="s">
        <v>71</v>
      </c>
      <c r="U7">
        <f t="shared" si="0"/>
        <v>0.43595456190950815</v>
      </c>
      <c r="V7">
        <f t="shared" si="1"/>
        <v>0.58524792308532192</v>
      </c>
      <c r="W7">
        <f t="shared" si="2"/>
        <v>0.60004898533355011</v>
      </c>
      <c r="X7">
        <f t="shared" si="3"/>
        <v>0.51052310093531994</v>
      </c>
      <c r="Y7">
        <f t="shared" si="4"/>
        <v>2.4878322594164136E-2</v>
      </c>
      <c r="Z7">
        <f t="shared" si="5"/>
        <v>5.3771502980133286E-2</v>
      </c>
      <c r="AA7">
        <f t="shared" si="6"/>
        <v>8.51536018111934E-2</v>
      </c>
      <c r="AB7">
        <f t="shared" si="7"/>
        <v>2.1692794956087503E-4</v>
      </c>
      <c r="AC7" s="5">
        <v>849651.00045895902</v>
      </c>
      <c r="AD7" s="5">
        <v>973789.68329612596</v>
      </c>
      <c r="AE7" s="5">
        <v>834710.61161745596</v>
      </c>
      <c r="AF7" s="5">
        <v>820570.98192666098</v>
      </c>
      <c r="AG7" s="5">
        <v>740005.00811963098</v>
      </c>
      <c r="AH7" s="5">
        <v>1129201.2092923699</v>
      </c>
      <c r="AI7" s="5">
        <v>877438.65374536801</v>
      </c>
      <c r="AJ7" s="5">
        <v>1156990.1887751799</v>
      </c>
      <c r="AK7" s="5">
        <v>1399887.30019469</v>
      </c>
      <c r="AL7" s="5">
        <v>981652.89584518305</v>
      </c>
      <c r="AM7" s="5">
        <v>1599379.84260987</v>
      </c>
      <c r="AN7" s="5">
        <v>710073.60972534795</v>
      </c>
      <c r="AO7" s="5">
        <v>1035698.15048589</v>
      </c>
      <c r="AP7" s="5">
        <v>1411905.9210107301</v>
      </c>
      <c r="AQ7" s="5">
        <v>1252313.6502853101</v>
      </c>
      <c r="AR7" s="5">
        <v>1265227.6611392901</v>
      </c>
      <c r="AS7" s="5">
        <v>1479326.0655668799</v>
      </c>
      <c r="AT7" s="5">
        <v>682497.68815322896</v>
      </c>
      <c r="AU7" s="5">
        <v>1324561.8244827699</v>
      </c>
      <c r="AV7" s="5">
        <v>932585.69305730995</v>
      </c>
      <c r="AW7" s="5">
        <v>1396375.6617685701</v>
      </c>
      <c r="AX7" s="5">
        <v>1200612.4204577899</v>
      </c>
      <c r="AY7" s="5">
        <v>1147326.3610892601</v>
      </c>
      <c r="AZ7" s="5">
        <v>1189100.88284508</v>
      </c>
      <c r="BA7" s="5">
        <v>1161345.0199140101</v>
      </c>
      <c r="BB7" s="5">
        <v>1438350.3366444199</v>
      </c>
      <c r="BC7" s="5">
        <v>1365136.1756458201</v>
      </c>
      <c r="BD7" s="5">
        <v>1595795.80976527</v>
      </c>
      <c r="BE7" s="5">
        <v>1432687.7974187699</v>
      </c>
      <c r="BF7" s="5">
        <v>978800.56173519394</v>
      </c>
      <c r="BG7" s="5">
        <v>1055321.6410058001</v>
      </c>
      <c r="BH7" s="5">
        <v>1267624.2701636299</v>
      </c>
      <c r="BI7" s="5">
        <v>801448.60287495505</v>
      </c>
      <c r="BJ7" s="5">
        <v>1092199.76361875</v>
      </c>
      <c r="BK7" s="5">
        <v>993782.52367781894</v>
      </c>
      <c r="BL7" s="5">
        <v>1244722.4305445901</v>
      </c>
      <c r="BM7" s="5">
        <v>1208205.88358566</v>
      </c>
      <c r="BN7" s="5">
        <v>1008360.18865613</v>
      </c>
      <c r="BO7" s="5">
        <v>1116195.4994510601</v>
      </c>
      <c r="BP7" s="5">
        <v>1697668.78312835</v>
      </c>
      <c r="BQ7" s="5">
        <v>1509381.6921157399</v>
      </c>
      <c r="BR7" s="5">
        <v>1398984.0535887999</v>
      </c>
      <c r="BS7" s="5">
        <v>1221970.2122961299</v>
      </c>
      <c r="BT7" s="5">
        <v>1022785.23173271</v>
      </c>
      <c r="BU7" s="5">
        <v>1729556.1448292099</v>
      </c>
      <c r="BV7" s="5">
        <v>1456521.3789943201</v>
      </c>
      <c r="BW7" s="5">
        <v>1568892.0880841899</v>
      </c>
      <c r="BX7" s="5">
        <v>1211869.39866816</v>
      </c>
      <c r="BY7" s="5">
        <v>1104164.5065076801</v>
      </c>
      <c r="BZ7" s="5">
        <v>1753406.4013698001</v>
      </c>
      <c r="CA7">
        <f t="shared" si="8"/>
        <v>-0.44104148989944747</v>
      </c>
      <c r="CB7">
        <f t="shared" si="9"/>
        <v>-0.2458579433717695</v>
      </c>
      <c r="CC7">
        <f t="shared" si="10"/>
        <v>-3.4344742608032754E-2</v>
      </c>
      <c r="CD7">
        <f t="shared" si="11"/>
        <v>2.3802617132683151E-2</v>
      </c>
      <c r="CE7" s="7">
        <f t="shared" si="12"/>
        <v>3.6567299543046099E-2</v>
      </c>
      <c r="CF7" s="7">
        <f t="shared" si="13"/>
        <v>0.5133519546480918</v>
      </c>
      <c r="CG7" s="7">
        <f t="shared" si="14"/>
        <v>0.93005244122123976</v>
      </c>
      <c r="CH7" s="7">
        <f t="shared" si="15"/>
        <v>0.72603501365237788</v>
      </c>
      <c r="CI7" s="5">
        <v>526314.79930056096</v>
      </c>
      <c r="CJ7" s="5">
        <v>585511.770252747</v>
      </c>
      <c r="CK7" s="5">
        <v>722934.96793459996</v>
      </c>
      <c r="CL7" s="5">
        <v>829754.54828726896</v>
      </c>
      <c r="CM7" s="5">
        <v>1107986.85317102</v>
      </c>
      <c r="CN7" s="5">
        <v>1159884.5389922301</v>
      </c>
      <c r="CO7" s="5">
        <v>1143311.4291337801</v>
      </c>
      <c r="CP7" s="5">
        <v>1048346.26746636</v>
      </c>
      <c r="CQ7" s="5">
        <v>1032186.48235102</v>
      </c>
      <c r="CR7" s="5">
        <v>1166825.37492592</v>
      </c>
      <c r="CS7" s="5">
        <v>1122555.91685068</v>
      </c>
      <c r="CT7" s="5">
        <v>1131340.1912046201</v>
      </c>
      <c r="CU7" s="5">
        <v>1211.9764667924001</v>
      </c>
      <c r="CV7" s="5">
        <v>2837.2759760542499</v>
      </c>
      <c r="CW7" s="5">
        <v>3454.8846887590798</v>
      </c>
      <c r="CX7" s="5">
        <v>1434.66218654061</v>
      </c>
      <c r="CY7" s="5">
        <v>1459.61185829898</v>
      </c>
      <c r="CZ7" s="6">
        <v>4173.3640432986804</v>
      </c>
    </row>
    <row r="8" spans="1:104" x14ac:dyDescent="0.2">
      <c r="A8">
        <v>424</v>
      </c>
      <c r="B8" s="5">
        <v>492</v>
      </c>
      <c r="C8" s="5" t="s">
        <v>64</v>
      </c>
      <c r="D8" s="5" t="s">
        <v>93</v>
      </c>
      <c r="E8" s="5" t="s">
        <v>94</v>
      </c>
      <c r="F8" s="5" t="s">
        <v>95</v>
      </c>
      <c r="G8" s="5" t="s">
        <v>95</v>
      </c>
      <c r="H8" s="5">
        <v>2</v>
      </c>
      <c r="I8" s="5" t="s">
        <v>96</v>
      </c>
      <c r="J8" s="5">
        <v>647.62113999999997</v>
      </c>
      <c r="K8" s="5">
        <v>647.62109999999996</v>
      </c>
      <c r="L8" s="5">
        <v>648.62841659999992</v>
      </c>
      <c r="M8" s="5">
        <v>7.0129999999999999</v>
      </c>
      <c r="N8" s="5">
        <v>7.0129999999999999</v>
      </c>
      <c r="O8" s="5">
        <v>1.6286576869484439</v>
      </c>
      <c r="P8" t="s">
        <v>76</v>
      </c>
      <c r="Q8" s="5">
        <v>4.306</v>
      </c>
      <c r="R8" s="5">
        <v>5</v>
      </c>
      <c r="S8" s="5" t="s">
        <v>70</v>
      </c>
      <c r="T8" s="5" t="s">
        <v>71</v>
      </c>
      <c r="U8">
        <f t="shared" si="0"/>
        <v>0.24314482710152843</v>
      </c>
      <c r="V8">
        <f t="shared" si="1"/>
        <v>0.29702050924073675</v>
      </c>
      <c r="W8">
        <f t="shared" si="2"/>
        <v>0.42657572488540973</v>
      </c>
      <c r="X8">
        <f t="shared" si="3"/>
        <v>0.30471177243716752</v>
      </c>
      <c r="Y8">
        <f t="shared" si="4"/>
        <v>0.23438902998417077</v>
      </c>
      <c r="Z8">
        <f t="shared" si="5"/>
        <v>0.26318865325543522</v>
      </c>
      <c r="AA8">
        <f t="shared" si="6"/>
        <v>0.39529939938103575</v>
      </c>
      <c r="AB8">
        <f t="shared" si="7"/>
        <v>0.14472842996806215</v>
      </c>
      <c r="AC8" s="5">
        <v>375503.70866544399</v>
      </c>
      <c r="AD8" s="5">
        <v>511838.37140867597</v>
      </c>
      <c r="AE8" s="5">
        <v>400351.88704935601</v>
      </c>
      <c r="AF8" s="5">
        <v>377296.728960254</v>
      </c>
      <c r="AG8" s="5">
        <v>363825.92012472701</v>
      </c>
      <c r="AH8" s="5">
        <v>444093.79923535499</v>
      </c>
      <c r="AI8" s="5">
        <v>368560.70299046702</v>
      </c>
      <c r="AJ8" s="5">
        <v>478759.82469827298</v>
      </c>
      <c r="AK8" s="5">
        <v>542657.67479191895</v>
      </c>
      <c r="AL8" s="5">
        <v>446557.02543744899</v>
      </c>
      <c r="AM8" s="5">
        <v>706140.21388827101</v>
      </c>
      <c r="AN8" s="5">
        <v>316309.40656589199</v>
      </c>
      <c r="AO8" s="5">
        <v>463548.43868708902</v>
      </c>
      <c r="AP8" s="5">
        <v>492914.07343054301</v>
      </c>
      <c r="AQ8" s="5">
        <v>460674.59327680699</v>
      </c>
      <c r="AR8" s="5">
        <v>572440.83694053197</v>
      </c>
      <c r="AS8" s="5">
        <v>512001.66928995599</v>
      </c>
      <c r="AT8" s="5">
        <v>317411.160166691</v>
      </c>
      <c r="AU8" s="5">
        <v>507101.772587493</v>
      </c>
      <c r="AV8" s="5">
        <v>367949.51373310201</v>
      </c>
      <c r="AW8" s="5">
        <v>571836.07549810305</v>
      </c>
      <c r="AX8" s="5">
        <v>517062.510589535</v>
      </c>
      <c r="AY8" s="5">
        <v>466026.29672871903</v>
      </c>
      <c r="AZ8" s="5">
        <v>392985.22751493001</v>
      </c>
      <c r="BA8" s="5">
        <v>421641.10514650401</v>
      </c>
      <c r="BB8" s="5">
        <v>589631.69540407101</v>
      </c>
      <c r="BC8" s="5">
        <v>501050.60249123798</v>
      </c>
      <c r="BD8" s="5">
        <v>563237.80566975696</v>
      </c>
      <c r="BE8" s="5">
        <v>529632.56090066605</v>
      </c>
      <c r="BF8" s="5">
        <v>354609.01482585201</v>
      </c>
      <c r="BG8" s="5">
        <v>392172.74844746199</v>
      </c>
      <c r="BH8" s="5">
        <v>447891.09266787098</v>
      </c>
      <c r="BI8" s="5">
        <v>334067.9890538</v>
      </c>
      <c r="BJ8" s="5">
        <v>385588.63987612299</v>
      </c>
      <c r="BK8" s="5">
        <v>394174.39498862898</v>
      </c>
      <c r="BL8" s="5">
        <v>412913.72826385498</v>
      </c>
      <c r="BM8" s="5">
        <v>445164.97015825397</v>
      </c>
      <c r="BN8" s="5">
        <v>342086.15778491198</v>
      </c>
      <c r="BO8" s="5">
        <v>347654.86555342103</v>
      </c>
      <c r="BP8" s="5">
        <v>582961.62527916604</v>
      </c>
      <c r="BQ8" s="5">
        <v>643193.79267116601</v>
      </c>
      <c r="BR8" s="5">
        <v>521123.87272188597</v>
      </c>
      <c r="BS8" s="5">
        <v>461913.10632681398</v>
      </c>
      <c r="BT8" s="5">
        <v>411468.77524397703</v>
      </c>
      <c r="BU8" s="5">
        <v>596438.40810448094</v>
      </c>
      <c r="BV8" s="5">
        <v>497449.48859960702</v>
      </c>
      <c r="BW8" s="5">
        <v>584236.41857066995</v>
      </c>
      <c r="BX8" s="5">
        <v>476276.01936171501</v>
      </c>
      <c r="BY8" s="5">
        <v>483056.85460688302</v>
      </c>
      <c r="BZ8" s="5">
        <v>597192.24504261697</v>
      </c>
      <c r="CA8">
        <f t="shared" si="8"/>
        <v>-0.43350253119536003</v>
      </c>
      <c r="CB8">
        <f t="shared" si="9"/>
        <v>-0.35915143426946383</v>
      </c>
      <c r="CC8">
        <f t="shared" si="10"/>
        <v>-2.3365473039864616E-2</v>
      </c>
      <c r="CD8">
        <f t="shared" si="11"/>
        <v>-9.0441778547482102E-2</v>
      </c>
      <c r="CE8" s="7">
        <f t="shared" si="12"/>
        <v>3.1426839547177413E-2</v>
      </c>
      <c r="CF8" s="7">
        <f t="shared" si="13"/>
        <v>0.2118691331395941</v>
      </c>
      <c r="CG8" s="7">
        <f t="shared" si="14"/>
        <v>0.75340351480095369</v>
      </c>
      <c r="CH8" s="7">
        <f t="shared" si="15"/>
        <v>0.69165131958550685</v>
      </c>
      <c r="CI8" s="5">
        <v>294933.92790344101</v>
      </c>
      <c r="CJ8" s="5">
        <v>298543.58412618103</v>
      </c>
      <c r="CK8" s="5">
        <v>330614.37292471598</v>
      </c>
      <c r="CL8" s="5">
        <v>333839.85690455901</v>
      </c>
      <c r="CM8" s="5">
        <v>452890.80433137302</v>
      </c>
      <c r="CN8" s="5">
        <v>435909.90924313798</v>
      </c>
      <c r="CO8" s="5">
        <v>458434.69791805401</v>
      </c>
      <c r="CP8" s="5">
        <v>440033.855020207</v>
      </c>
      <c r="CQ8" s="5">
        <v>463059.76786032401</v>
      </c>
      <c r="CR8" s="5">
        <v>449492.586788424</v>
      </c>
      <c r="CS8" s="5">
        <v>458168.83810450899</v>
      </c>
      <c r="CT8" s="5">
        <v>437599.04958819097</v>
      </c>
      <c r="CU8" s="5">
        <v>1508.9751725153001</v>
      </c>
      <c r="CV8" s="5">
        <v>2737.2513218051199</v>
      </c>
      <c r="CW8" s="5">
        <v>3162.1659924154601</v>
      </c>
      <c r="CX8" s="5">
        <v>978.802823529752</v>
      </c>
      <c r="CY8" s="5">
        <v>2369.1640770341501</v>
      </c>
      <c r="CZ8" s="6">
        <v>2732.3013554692502</v>
      </c>
    </row>
    <row r="9" spans="1:104" x14ac:dyDescent="0.2">
      <c r="A9">
        <v>423</v>
      </c>
      <c r="B9" s="5">
        <v>491</v>
      </c>
      <c r="C9" s="5" t="s">
        <v>64</v>
      </c>
      <c r="D9" s="5" t="s">
        <v>97</v>
      </c>
      <c r="E9" s="5" t="s">
        <v>98</v>
      </c>
      <c r="F9" s="5" t="s">
        <v>99</v>
      </c>
      <c r="G9" s="5" t="s">
        <v>99</v>
      </c>
      <c r="H9" s="5">
        <v>2</v>
      </c>
      <c r="I9" s="5" t="s">
        <v>100</v>
      </c>
      <c r="J9" s="5">
        <v>645.60541000000001</v>
      </c>
      <c r="K9" s="5">
        <v>645.60540000000003</v>
      </c>
      <c r="L9" s="5">
        <v>646.61268659999996</v>
      </c>
      <c r="M9" s="5">
        <v>6.77</v>
      </c>
      <c r="N9" s="5">
        <v>6.77</v>
      </c>
      <c r="O9" s="5">
        <v>1.5722248026010217</v>
      </c>
      <c r="P9" t="s">
        <v>76</v>
      </c>
      <c r="Q9" s="5">
        <v>4.306</v>
      </c>
      <c r="R9" s="5">
        <v>4</v>
      </c>
      <c r="S9" s="5" t="s">
        <v>70</v>
      </c>
      <c r="T9" s="5" t="s">
        <v>71</v>
      </c>
      <c r="U9">
        <f t="shared" si="0"/>
        <v>3.0059946150891595E-2</v>
      </c>
      <c r="V9">
        <f t="shared" si="1"/>
        <v>0.161822831005977</v>
      </c>
      <c r="W9">
        <f t="shared" si="2"/>
        <v>0.17314525194722041</v>
      </c>
      <c r="X9">
        <f t="shared" si="3"/>
        <v>-9.9688244823474062E-2</v>
      </c>
      <c r="Y9">
        <f t="shared" si="4"/>
        <v>0.59536447122478331</v>
      </c>
      <c r="Z9">
        <f t="shared" si="5"/>
        <v>0.42201657030080097</v>
      </c>
      <c r="AA9">
        <f t="shared" si="6"/>
        <v>0.75717728656256789</v>
      </c>
      <c r="AB9">
        <f t="shared" si="7"/>
        <v>0.71914546268237189</v>
      </c>
      <c r="AC9" s="5">
        <v>76824.282879356295</v>
      </c>
      <c r="AD9" s="5">
        <v>105702.98238029701</v>
      </c>
      <c r="AE9" s="5">
        <v>95855.509878517303</v>
      </c>
      <c r="AF9" s="5">
        <v>89007.141887723294</v>
      </c>
      <c r="AG9" s="5">
        <v>69618.939808867493</v>
      </c>
      <c r="AH9" s="5">
        <v>91292.894407065105</v>
      </c>
      <c r="AI9" s="5">
        <v>89057.559573663195</v>
      </c>
      <c r="AJ9" s="5">
        <v>90881.147311943001</v>
      </c>
      <c r="AK9" s="5">
        <v>90805.544933020705</v>
      </c>
      <c r="AL9" s="5">
        <v>92942.273989919995</v>
      </c>
      <c r="AM9" s="5">
        <v>142718.489108065</v>
      </c>
      <c r="AN9" s="5">
        <v>63101.962806991403</v>
      </c>
      <c r="AO9" s="5">
        <v>99572.263959194199</v>
      </c>
      <c r="AP9" s="5">
        <v>100441.167372055</v>
      </c>
      <c r="AQ9" s="5">
        <v>91693.1970314051</v>
      </c>
      <c r="AR9" s="5">
        <v>100356.79195941301</v>
      </c>
      <c r="AS9" s="5">
        <v>115776.42368390301</v>
      </c>
      <c r="AT9" s="5">
        <v>54541.034640330399</v>
      </c>
      <c r="AU9" s="5">
        <v>105781.206799404</v>
      </c>
      <c r="AV9" s="5">
        <v>80759.767934768402</v>
      </c>
      <c r="AW9" s="5">
        <v>111919.38742842599</v>
      </c>
      <c r="AX9" s="5">
        <v>102272.20886235499</v>
      </c>
      <c r="AY9" s="5">
        <v>83064.547527012604</v>
      </c>
      <c r="AZ9" s="5">
        <v>79432.233728354404</v>
      </c>
      <c r="BA9" s="5">
        <v>77851.992123013799</v>
      </c>
      <c r="BB9" s="5">
        <v>119605.217686654</v>
      </c>
      <c r="BC9" s="5">
        <v>102528.891354088</v>
      </c>
      <c r="BD9" s="5">
        <v>130278.437042694</v>
      </c>
      <c r="BE9" s="5">
        <v>97800.981954419301</v>
      </c>
      <c r="BF9" s="5">
        <v>79711.511925582105</v>
      </c>
      <c r="BG9" s="5">
        <v>72496.6670156521</v>
      </c>
      <c r="BH9" s="5">
        <v>78696.485296290295</v>
      </c>
      <c r="BI9" s="5">
        <v>72790.028713010295</v>
      </c>
      <c r="BJ9" s="5">
        <v>90358.0500415149</v>
      </c>
      <c r="BK9" s="5">
        <v>80936.056655524793</v>
      </c>
      <c r="BL9" s="5">
        <v>81260.892845279493</v>
      </c>
      <c r="BM9" s="5">
        <v>99377.122288617495</v>
      </c>
      <c r="BN9" s="5">
        <v>72371.852365225699</v>
      </c>
      <c r="BO9" s="5">
        <v>66279.601938550797</v>
      </c>
      <c r="BP9" s="5">
        <v>128576.606380082</v>
      </c>
      <c r="BQ9" s="5">
        <v>132250.98978694301</v>
      </c>
      <c r="BR9" s="5">
        <v>106104.14213310801</v>
      </c>
      <c r="BS9" s="5">
        <v>83217.9892307501</v>
      </c>
      <c r="BT9" s="5">
        <v>87446.6389226912</v>
      </c>
      <c r="BU9" s="5">
        <v>124624.03072691899</v>
      </c>
      <c r="BV9" s="5">
        <v>102214.99547473701</v>
      </c>
      <c r="BW9" s="5">
        <v>110603.860420318</v>
      </c>
      <c r="BX9" s="5">
        <v>93557.534267575596</v>
      </c>
      <c r="BY9" s="5">
        <v>92505.065510982604</v>
      </c>
      <c r="BZ9" s="5">
        <v>115357.113592717</v>
      </c>
      <c r="CA9">
        <f t="shared" si="8"/>
        <v>-0.38165939101746932</v>
      </c>
      <c r="CB9">
        <f t="shared" si="9"/>
        <v>-0.33539737914091999</v>
      </c>
      <c r="CC9">
        <f t="shared" si="10"/>
        <v>4.945047745406965E-2</v>
      </c>
      <c r="CD9">
        <f t="shared" si="11"/>
        <v>-4.4236376510528273E-3</v>
      </c>
      <c r="CE9" s="7">
        <f t="shared" si="12"/>
        <v>2.0769764096486433E-2</v>
      </c>
      <c r="CF9" s="7">
        <f t="shared" si="13"/>
        <v>0.28316944411672546</v>
      </c>
      <c r="CG9" s="7">
        <f t="shared" si="14"/>
        <v>0.95617606798733767</v>
      </c>
      <c r="CH9" s="7">
        <f t="shared" si="15"/>
        <v>0.75913776997599069</v>
      </c>
      <c r="CI9" s="5">
        <v>78436.312278138794</v>
      </c>
      <c r="CJ9" s="5">
        <v>70724.577297993499</v>
      </c>
      <c r="CK9" s="5">
        <v>80949.999368064804</v>
      </c>
      <c r="CL9" s="5">
        <v>74762.845761933801</v>
      </c>
      <c r="CM9" s="5">
        <v>97647.990535454097</v>
      </c>
      <c r="CN9" s="5">
        <v>107249.099606959</v>
      </c>
      <c r="CO9" s="5">
        <v>96029.766515675306</v>
      </c>
      <c r="CP9" s="5">
        <v>95975.115830900599</v>
      </c>
      <c r="CQ9" s="5">
        <v>90488.586776535507</v>
      </c>
      <c r="CR9" s="5">
        <v>98248.542187564395</v>
      </c>
      <c r="CS9" s="5">
        <v>102585.30744073501</v>
      </c>
      <c r="CT9" s="5">
        <v>100491.06172013</v>
      </c>
      <c r="CU9" s="5">
        <v>780.54219594706797</v>
      </c>
      <c r="CV9" s="5">
        <v>796.35424368174904</v>
      </c>
      <c r="CW9" s="5">
        <v>1176.9975356053401</v>
      </c>
      <c r="CX9" s="5">
        <v>724.02834209034495</v>
      </c>
      <c r="CY9" s="5">
        <v>817.61712634780395</v>
      </c>
      <c r="CZ9" s="6">
        <v>1384.9090218521601</v>
      </c>
    </row>
    <row r="10" spans="1:104" x14ac:dyDescent="0.2">
      <c r="A10">
        <v>422</v>
      </c>
      <c r="B10" s="5">
        <v>490</v>
      </c>
      <c r="C10" s="5" t="s">
        <v>64</v>
      </c>
      <c r="D10" s="5" t="s">
        <v>101</v>
      </c>
      <c r="E10" s="5" t="s">
        <v>102</v>
      </c>
      <c r="F10" s="5" t="s">
        <v>103</v>
      </c>
      <c r="G10" s="5" t="s">
        <v>103</v>
      </c>
      <c r="H10" s="5">
        <v>2</v>
      </c>
      <c r="I10" s="5" t="s">
        <v>104</v>
      </c>
      <c r="J10" s="5">
        <v>663.65224000000001</v>
      </c>
      <c r="K10" s="5">
        <v>663.65219999999999</v>
      </c>
      <c r="L10" s="5">
        <v>664.65951659999996</v>
      </c>
      <c r="M10" s="5">
        <v>7.4640000000000004</v>
      </c>
      <c r="N10" s="5">
        <v>7.4640000000000004</v>
      </c>
      <c r="O10" s="5">
        <v>1.7333952624245239</v>
      </c>
      <c r="P10" t="s">
        <v>76</v>
      </c>
      <c r="Q10" s="5">
        <v>4.306</v>
      </c>
      <c r="R10" s="5">
        <v>3</v>
      </c>
      <c r="S10" s="5" t="s">
        <v>70</v>
      </c>
      <c r="T10" s="5" t="s">
        <v>71</v>
      </c>
      <c r="U10">
        <f t="shared" si="0"/>
        <v>0.55819612197017499</v>
      </c>
      <c r="V10">
        <f t="shared" si="1"/>
        <v>0.60255342514975718</v>
      </c>
      <c r="W10">
        <f t="shared" si="2"/>
        <v>0.60421562921167105</v>
      </c>
      <c r="X10">
        <f t="shared" si="3"/>
        <v>0.68637324066042127</v>
      </c>
      <c r="Y10">
        <f t="shared" si="4"/>
        <v>8.0406257770674061E-3</v>
      </c>
      <c r="Z10">
        <f t="shared" si="5"/>
        <v>3.6598697983222947E-2</v>
      </c>
      <c r="AA10">
        <f t="shared" si="6"/>
        <v>0.11104077441728243</v>
      </c>
      <c r="AB10">
        <f t="shared" si="7"/>
        <v>9.0265625798462953E-5</v>
      </c>
      <c r="AC10" s="5">
        <v>54142.3751658201</v>
      </c>
      <c r="AD10" s="5">
        <v>56720.205719832098</v>
      </c>
      <c r="AE10" s="5">
        <v>51320.0617207346</v>
      </c>
      <c r="AF10" s="5">
        <v>50643.1828791609</v>
      </c>
      <c r="AG10" s="5">
        <v>48570.842719945103</v>
      </c>
      <c r="AH10" s="5">
        <v>75565.045152526902</v>
      </c>
      <c r="AI10" s="5">
        <v>73315.401777149702</v>
      </c>
      <c r="AJ10" s="5">
        <v>85820.660740456296</v>
      </c>
      <c r="AK10" s="5">
        <v>112756.589381899</v>
      </c>
      <c r="AL10" s="5">
        <v>63533.752283385897</v>
      </c>
      <c r="AM10" s="5">
        <v>129441.45571734299</v>
      </c>
      <c r="AN10" s="5">
        <v>49503.791986694298</v>
      </c>
      <c r="AO10" s="5">
        <v>73029.484155446698</v>
      </c>
      <c r="AP10" s="5">
        <v>107166.53094321</v>
      </c>
      <c r="AQ10" s="5">
        <v>77924.464231384205</v>
      </c>
      <c r="AR10" s="5">
        <v>89230.765963260405</v>
      </c>
      <c r="AS10" s="5">
        <v>78014.296803751495</v>
      </c>
      <c r="AT10" s="5">
        <v>38028.580269465601</v>
      </c>
      <c r="AU10" s="5">
        <v>97687.1695085299</v>
      </c>
      <c r="AV10" s="5">
        <v>56874.468612646</v>
      </c>
      <c r="AW10" s="5">
        <v>67250.393707753494</v>
      </c>
      <c r="AX10" s="5">
        <v>82585.937593948402</v>
      </c>
      <c r="AY10" s="5">
        <v>87579.628251019603</v>
      </c>
      <c r="AZ10" s="5">
        <v>86891.298078365406</v>
      </c>
      <c r="BA10" s="5">
        <v>79680.630292639005</v>
      </c>
      <c r="BB10" s="5">
        <v>170747.00278197601</v>
      </c>
      <c r="BC10" s="5">
        <v>186589.766029202</v>
      </c>
      <c r="BD10" s="5">
        <v>197285.23556883101</v>
      </c>
      <c r="BE10" s="5">
        <v>179581.80939628699</v>
      </c>
      <c r="BF10" s="5">
        <v>111548.625435134</v>
      </c>
      <c r="BG10" s="5">
        <v>140909.03008101101</v>
      </c>
      <c r="BH10" s="5">
        <v>186417.83413177199</v>
      </c>
      <c r="BI10" s="5">
        <v>103717.255157486</v>
      </c>
      <c r="BJ10" s="5">
        <v>133020.30100965701</v>
      </c>
      <c r="BK10" s="5">
        <v>127906.645976379</v>
      </c>
      <c r="BL10" s="5">
        <v>164092.15150771299</v>
      </c>
      <c r="BM10" s="5">
        <v>164987.25380853799</v>
      </c>
      <c r="BN10" s="5">
        <v>126429.40050267499</v>
      </c>
      <c r="BO10" s="5">
        <v>145586.165478651</v>
      </c>
      <c r="BP10" s="5">
        <v>189602.86102570099</v>
      </c>
      <c r="BQ10" s="5">
        <v>183977.50321831901</v>
      </c>
      <c r="BR10" s="5">
        <v>170244.58810836999</v>
      </c>
      <c r="BS10" s="5">
        <v>228049.85790097201</v>
      </c>
      <c r="BT10" s="5">
        <v>132983.95556763001</v>
      </c>
      <c r="BU10" s="5">
        <v>195650.32288189299</v>
      </c>
      <c r="BV10" s="5">
        <v>151029.13970643899</v>
      </c>
      <c r="BW10" s="5">
        <v>174528.82349165101</v>
      </c>
      <c r="BX10" s="5">
        <v>157828.11173372899</v>
      </c>
      <c r="BY10" s="5">
        <v>161354.222255103</v>
      </c>
      <c r="BZ10" s="5">
        <v>224893.95030706201</v>
      </c>
      <c r="CA10">
        <f t="shared" si="8"/>
        <v>-0.43299478007990055</v>
      </c>
      <c r="CB10">
        <f t="shared" si="9"/>
        <v>-0.13013498406720372</v>
      </c>
      <c r="CC10">
        <f t="shared" si="10"/>
        <v>3.4888143443271097E-2</v>
      </c>
      <c r="CD10">
        <f t="shared" si="11"/>
        <v>-0.15440989056909266</v>
      </c>
      <c r="CE10" s="7">
        <f t="shared" si="12"/>
        <v>0.16677801458533498</v>
      </c>
      <c r="CF10" s="7">
        <f t="shared" si="13"/>
        <v>0.56581018119677995</v>
      </c>
      <c r="CG10" s="7">
        <f t="shared" si="14"/>
        <v>0.56395726820893055</v>
      </c>
      <c r="CH10" s="7">
        <f t="shared" si="15"/>
        <v>0.81796857013131608</v>
      </c>
      <c r="CI10" s="5">
        <v>94189.310658883507</v>
      </c>
      <c r="CJ10" s="5">
        <v>92671.562328563101</v>
      </c>
      <c r="CK10" s="5">
        <v>116884.361639782</v>
      </c>
      <c r="CL10" s="5">
        <v>109532.065842169</v>
      </c>
      <c r="CM10" s="5">
        <v>117509.09047778101</v>
      </c>
      <c r="CN10" s="5">
        <v>124789.623054337</v>
      </c>
      <c r="CO10" s="5">
        <v>126725.92944937501</v>
      </c>
      <c r="CP10" s="5">
        <v>120627.775214501</v>
      </c>
      <c r="CQ10" s="5">
        <v>114392.30322411501</v>
      </c>
      <c r="CR10" s="5">
        <v>120059.70887847101</v>
      </c>
      <c r="CS10" s="5">
        <v>122838.606646117</v>
      </c>
      <c r="CT10" s="5">
        <v>123052.337890561</v>
      </c>
      <c r="CU10" s="5">
        <v>832.56844375015305</v>
      </c>
      <c r="CV10" s="5">
        <v>890.61589829923298</v>
      </c>
      <c r="CW10" s="5">
        <v>1058.0855407410399</v>
      </c>
      <c r="CX10" s="5">
        <v>826.89508524681298</v>
      </c>
      <c r="CY10" s="5">
        <v>925.11628793613102</v>
      </c>
      <c r="CZ10" s="6">
        <v>1111.04885510759</v>
      </c>
    </row>
    <row r="11" spans="1:104" x14ac:dyDescent="0.2">
      <c r="A11">
        <v>1979</v>
      </c>
      <c r="B11" s="5">
        <v>2231</v>
      </c>
      <c r="C11" s="5" t="s">
        <v>64</v>
      </c>
      <c r="D11" s="5"/>
      <c r="E11" s="5" t="s">
        <v>105</v>
      </c>
      <c r="F11" s="5" t="s">
        <v>105</v>
      </c>
      <c r="G11" s="5" t="s">
        <v>105</v>
      </c>
      <c r="H11" s="5">
        <v>3</v>
      </c>
      <c r="I11" s="5" t="s">
        <v>106</v>
      </c>
      <c r="J11" s="5">
        <v>677.66805999999997</v>
      </c>
      <c r="K11" s="5">
        <v>677.66809999999998</v>
      </c>
      <c r="L11" s="5">
        <v>678.67533659999992</v>
      </c>
      <c r="M11" s="5">
        <v>7.72</v>
      </c>
      <c r="N11" s="5">
        <v>7.72</v>
      </c>
      <c r="O11" s="5"/>
      <c r="P11" s="5"/>
      <c r="Q11" s="5"/>
      <c r="R11" s="5">
        <v>1</v>
      </c>
      <c r="S11" s="5" t="s">
        <v>70</v>
      </c>
      <c r="T11" s="5" t="s">
        <v>71</v>
      </c>
      <c r="U11">
        <f t="shared" si="0"/>
        <v>2.4918865846716744E-3</v>
      </c>
      <c r="V11">
        <f t="shared" si="1"/>
        <v>-0.36388853058238563</v>
      </c>
      <c r="W11">
        <f t="shared" si="2"/>
        <v>-4.06728760457086E-2</v>
      </c>
      <c r="X11">
        <f t="shared" si="3"/>
        <v>-7.1520071408270033E-2</v>
      </c>
      <c r="Y11">
        <f t="shared" si="4"/>
        <v>0.74205628622907782</v>
      </c>
      <c r="Z11">
        <f t="shared" si="5"/>
        <v>6.5813890666538019E-2</v>
      </c>
      <c r="AA11">
        <f t="shared" si="6"/>
        <v>0.19689389908657676</v>
      </c>
      <c r="AB11">
        <f t="shared" si="7"/>
        <v>0.28914289260285525</v>
      </c>
      <c r="AC11" s="5">
        <v>12607.9382980223</v>
      </c>
      <c r="AD11" s="5">
        <v>13781.4587124192</v>
      </c>
      <c r="AE11" s="5">
        <v>17486.667992565799</v>
      </c>
      <c r="AF11" s="5">
        <v>13861.1887918948</v>
      </c>
      <c r="AG11" s="5">
        <v>12460.314426577899</v>
      </c>
      <c r="AH11" s="5">
        <v>17380.7093761754</v>
      </c>
      <c r="AI11" s="5">
        <v>13379.702737181</v>
      </c>
      <c r="AJ11" s="5">
        <v>14190.646893872199</v>
      </c>
      <c r="AK11" s="5">
        <v>13805.2832259554</v>
      </c>
      <c r="AL11" s="5">
        <v>8581.0229957609299</v>
      </c>
      <c r="AM11" s="5">
        <v>7661.3217495322997</v>
      </c>
      <c r="AN11" s="5">
        <v>10709.1209991875</v>
      </c>
      <c r="AO11" s="5">
        <v>13514.1532616231</v>
      </c>
      <c r="AP11" s="5">
        <v>6760.61405826997</v>
      </c>
      <c r="AQ11" s="5">
        <v>13564.2308366749</v>
      </c>
      <c r="AR11" s="5">
        <v>13398.3535210142</v>
      </c>
      <c r="AS11" s="5">
        <v>13960.392479362001</v>
      </c>
      <c r="AT11" s="5">
        <v>8412.1609053568409</v>
      </c>
      <c r="AU11" s="5">
        <v>7542.1412603997296</v>
      </c>
      <c r="AV11" s="5">
        <v>14598.3834708744</v>
      </c>
      <c r="AW11" s="5">
        <v>13114.9156449697</v>
      </c>
      <c r="AX11" s="5">
        <v>13536.1866296312</v>
      </c>
      <c r="AY11" s="5">
        <v>10895.850883471599</v>
      </c>
      <c r="AZ11" s="5">
        <v>9775.9510222701792</v>
      </c>
      <c r="BA11" s="5">
        <v>15287.2315962633</v>
      </c>
      <c r="BB11" s="5">
        <v>13175.3441590653</v>
      </c>
      <c r="BC11" s="5">
        <v>14829.637517589599</v>
      </c>
      <c r="BD11" s="5">
        <v>7012.2353706800805</v>
      </c>
      <c r="BE11" s="5">
        <v>14990.119974535</v>
      </c>
      <c r="BF11" s="5">
        <v>9826.5946863634708</v>
      </c>
      <c r="BG11" s="5">
        <v>9376.0057871267709</v>
      </c>
      <c r="BH11" s="5">
        <v>11057.508310183601</v>
      </c>
      <c r="BI11" s="5">
        <v>8778.0159547545009</v>
      </c>
      <c r="BJ11" s="5">
        <v>9510.6442815165992</v>
      </c>
      <c r="BK11" s="5">
        <v>9850.7337589400104</v>
      </c>
      <c r="BL11" s="5">
        <v>25950.040706275198</v>
      </c>
      <c r="BM11" s="5">
        <v>11713.1815206627</v>
      </c>
      <c r="BN11" s="5">
        <v>8902.1297942280107</v>
      </c>
      <c r="BO11" s="5">
        <v>11408.512891468699</v>
      </c>
      <c r="BP11" s="5">
        <v>17126.345906471</v>
      </c>
      <c r="BQ11" s="5">
        <v>10580.721937350199</v>
      </c>
      <c r="BR11" s="5">
        <v>9159.8744395487993</v>
      </c>
      <c r="BS11" s="5">
        <v>11300.036449080801</v>
      </c>
      <c r="BT11" s="5">
        <v>13586.258519319599</v>
      </c>
      <c r="BU11" s="5">
        <v>10115.376292249</v>
      </c>
      <c r="BV11" s="5">
        <v>17878.093430382301</v>
      </c>
      <c r="BW11" s="5">
        <v>6631.2080059214304</v>
      </c>
      <c r="BX11" s="5">
        <v>13100.9187865315</v>
      </c>
      <c r="BY11" s="5">
        <v>14296.776428593001</v>
      </c>
      <c r="BZ11" s="5">
        <v>11855.160376556099</v>
      </c>
      <c r="CA11">
        <f t="shared" si="8"/>
        <v>-0.47022566534437565</v>
      </c>
      <c r="CB11">
        <f t="shared" si="9"/>
        <v>-0.16970765543113431</v>
      </c>
      <c r="CC11">
        <f t="shared" si="10"/>
        <v>-0.31640257974165298</v>
      </c>
      <c r="CD11">
        <f t="shared" si="11"/>
        <v>-8.172654020969854E-3</v>
      </c>
      <c r="CE11" s="7">
        <f t="shared" si="12"/>
        <v>0.19523734887526373</v>
      </c>
      <c r="CF11" s="7">
        <f t="shared" si="13"/>
        <v>0.39737241872222751</v>
      </c>
      <c r="CG11" s="7">
        <f t="shared" si="14"/>
        <v>0.56973903845826768</v>
      </c>
      <c r="CH11" s="7">
        <f t="shared" si="15"/>
        <v>0.7515735655953999</v>
      </c>
      <c r="CI11" s="5">
        <v>3997.8068831635401</v>
      </c>
      <c r="CJ11" s="5">
        <v>4413.6793600579103</v>
      </c>
      <c r="CK11" s="5">
        <v>6223.1363280444803</v>
      </c>
      <c r="CL11" s="5">
        <v>6125.8791802498999</v>
      </c>
      <c r="CM11" s="5">
        <v>11473.5197729458</v>
      </c>
      <c r="CN11" s="5">
        <v>11169.9059260411</v>
      </c>
      <c r="CO11" s="5">
        <v>11608.239969665299</v>
      </c>
      <c r="CP11" s="5">
        <v>12296.6162615998</v>
      </c>
      <c r="CQ11" s="5">
        <v>11863.3458956552</v>
      </c>
      <c r="CR11" s="5">
        <v>11299.950726061101</v>
      </c>
      <c r="CS11" s="5">
        <v>11930.764822593301</v>
      </c>
      <c r="CT11" s="5">
        <v>11126.8202646134</v>
      </c>
      <c r="CU11" s="5">
        <v>621.36498298672996</v>
      </c>
      <c r="CV11" s="5">
        <v>608.57760284278504</v>
      </c>
      <c r="CW11" s="5">
        <v>656.68150109879105</v>
      </c>
      <c r="CX11" s="5">
        <v>629.35633960228097</v>
      </c>
      <c r="CY11" s="5">
        <v>667.95766081525505</v>
      </c>
      <c r="CZ11" s="6">
        <v>710.66436136992399</v>
      </c>
    </row>
    <row r="12" spans="1:104" x14ac:dyDescent="0.2">
      <c r="A12">
        <v>700</v>
      </c>
      <c r="B12" s="5">
        <v>778</v>
      </c>
      <c r="C12" s="5" t="s">
        <v>64</v>
      </c>
      <c r="D12" s="5"/>
      <c r="E12" s="5" t="s">
        <v>107</v>
      </c>
      <c r="F12" s="5" t="s">
        <v>107</v>
      </c>
      <c r="G12" s="5" t="s">
        <v>107</v>
      </c>
      <c r="H12" s="5">
        <v>3</v>
      </c>
      <c r="I12" s="5" t="s">
        <v>108</v>
      </c>
      <c r="J12" s="5">
        <v>675.65216999999996</v>
      </c>
      <c r="K12" s="5">
        <v>675.65219999999999</v>
      </c>
      <c r="L12" s="5">
        <v>676.65944659999991</v>
      </c>
      <c r="M12" s="5">
        <v>7.3259999999999996</v>
      </c>
      <c r="N12" s="5">
        <v>7.3259999999999996</v>
      </c>
      <c r="O12" s="5"/>
      <c r="P12" s="5"/>
      <c r="Q12" s="5"/>
      <c r="R12" s="5">
        <v>1</v>
      </c>
      <c r="S12" s="5" t="s">
        <v>70</v>
      </c>
      <c r="T12" s="5" t="s">
        <v>71</v>
      </c>
      <c r="U12">
        <f t="shared" si="0"/>
        <v>0.18408070272239527</v>
      </c>
      <c r="V12">
        <f t="shared" si="1"/>
        <v>-0.30568823954020657</v>
      </c>
      <c r="W12">
        <f t="shared" si="2"/>
        <v>0.14179986540510373</v>
      </c>
      <c r="X12">
        <f t="shared" si="3"/>
        <v>5.118860492428242E-2</v>
      </c>
      <c r="Y12">
        <f t="shared" si="4"/>
        <v>0.53670138035533066</v>
      </c>
      <c r="Z12">
        <f t="shared" si="5"/>
        <v>9.1691560326604957E-2</v>
      </c>
      <c r="AA12">
        <f t="shared" si="6"/>
        <v>0.78819009964147801</v>
      </c>
      <c r="AB12">
        <f t="shared" si="7"/>
        <v>0.94123474030388532</v>
      </c>
      <c r="AC12" s="5">
        <v>14806.608912763901</v>
      </c>
      <c r="AD12" s="5">
        <v>19362.709219741799</v>
      </c>
      <c r="AE12" s="5">
        <v>17609.486650099701</v>
      </c>
      <c r="AF12" s="5">
        <v>13951.436802772199</v>
      </c>
      <c r="AG12" s="5">
        <v>15798.635512230099</v>
      </c>
      <c r="AH12" s="5">
        <v>19061.4047112304</v>
      </c>
      <c r="AI12" s="5">
        <v>18666.423453229901</v>
      </c>
      <c r="AJ12" s="5">
        <v>17948.716288318199</v>
      </c>
      <c r="AK12" s="5">
        <v>17670.121326850101</v>
      </c>
      <c r="AL12" s="5">
        <v>12945.6532312256</v>
      </c>
      <c r="AM12" s="5">
        <v>10948.133454990601</v>
      </c>
      <c r="AN12" s="5">
        <v>12781.983430992101</v>
      </c>
      <c r="AO12" s="5">
        <v>16397.901422894302</v>
      </c>
      <c r="AP12" s="5">
        <v>10163.963957624401</v>
      </c>
      <c r="AQ12" s="5">
        <v>15916.609901133699</v>
      </c>
      <c r="AR12" s="5">
        <v>17430.329320226101</v>
      </c>
      <c r="AS12" s="5">
        <v>19457.354712450899</v>
      </c>
      <c r="AT12" s="5">
        <v>11445.6661009035</v>
      </c>
      <c r="AU12" s="5">
        <v>10571.791673297001</v>
      </c>
      <c r="AV12" s="5">
        <v>19585.117400690699</v>
      </c>
      <c r="AW12" s="5">
        <v>16546.685599776902</v>
      </c>
      <c r="AX12" s="5">
        <v>16369.253907029701</v>
      </c>
      <c r="AY12" s="5">
        <v>15574.5372414207</v>
      </c>
      <c r="AZ12" s="5">
        <v>10709.2029940263</v>
      </c>
      <c r="BA12" s="5">
        <v>21574.934827557201</v>
      </c>
      <c r="BB12" s="5">
        <v>20567.5439555415</v>
      </c>
      <c r="BC12" s="5">
        <v>17357.608596363501</v>
      </c>
      <c r="BD12" s="5">
        <v>8787.5868407223206</v>
      </c>
      <c r="BE12" s="5">
        <v>20017.4192259019</v>
      </c>
      <c r="BF12" s="5">
        <v>12548.225310571601</v>
      </c>
      <c r="BG12" s="5">
        <v>12690.511588753699</v>
      </c>
      <c r="BH12" s="5">
        <v>14209.4058954262</v>
      </c>
      <c r="BI12" s="5">
        <v>11906.061804647199</v>
      </c>
      <c r="BJ12" s="5">
        <v>13190.3784822493</v>
      </c>
      <c r="BK12" s="5">
        <v>13515.736141830301</v>
      </c>
      <c r="BL12" s="5">
        <v>12655.303713887401</v>
      </c>
      <c r="BM12" s="5">
        <v>16671.097424492898</v>
      </c>
      <c r="BN12" s="5">
        <v>13899.590270885499</v>
      </c>
      <c r="BO12" s="5">
        <v>16728.810065587499</v>
      </c>
      <c r="BP12" s="5">
        <v>21357.947430289201</v>
      </c>
      <c r="BQ12" s="5">
        <v>17468.145830461501</v>
      </c>
      <c r="BR12" s="5">
        <v>14388.9770860845</v>
      </c>
      <c r="BS12" s="5">
        <v>16150.198408010299</v>
      </c>
      <c r="BT12" s="5">
        <v>19591.292690038299</v>
      </c>
      <c r="BU12" s="5">
        <v>12707.832675187101</v>
      </c>
      <c r="BV12" s="5">
        <v>23012.870929012901</v>
      </c>
      <c r="BW12" s="5">
        <v>8834.3291257702494</v>
      </c>
      <c r="BX12" s="5">
        <v>15361.270740039199</v>
      </c>
      <c r="BY12" s="5">
        <v>18353.3835139537</v>
      </c>
      <c r="BZ12" s="5">
        <v>15420.185673731499</v>
      </c>
      <c r="CA12">
        <f t="shared" si="8"/>
        <v>-0.39608223595779518</v>
      </c>
      <c r="CB12">
        <f t="shared" si="9"/>
        <v>-5.8219120426970632E-2</v>
      </c>
      <c r="CC12">
        <f t="shared" si="10"/>
        <v>-0.10401630877361347</v>
      </c>
      <c r="CD12">
        <f t="shared" si="11"/>
        <v>-0.17074806078166258</v>
      </c>
      <c r="CE12" s="7">
        <f t="shared" si="12"/>
        <v>0.26529437932120703</v>
      </c>
      <c r="CF12" s="7">
        <f t="shared" si="13"/>
        <v>0.88465849662136864</v>
      </c>
      <c r="CG12" s="7">
        <f t="shared" si="14"/>
        <v>0.93797967957958472</v>
      </c>
      <c r="CH12" s="7">
        <f t="shared" si="15"/>
        <v>0.9187072565625698</v>
      </c>
      <c r="CI12" s="5">
        <v>7766.8073403519102</v>
      </c>
      <c r="CJ12" s="5">
        <v>9020.3923943571808</v>
      </c>
      <c r="CK12" s="5">
        <v>11440.8104272115</v>
      </c>
      <c r="CL12" s="5">
        <v>11222.826252185299</v>
      </c>
      <c r="CM12" s="5">
        <v>16406.612250857001</v>
      </c>
      <c r="CN12" s="5">
        <v>15616.4213642831</v>
      </c>
      <c r="CO12" s="5">
        <v>15762.8152588538</v>
      </c>
      <c r="CP12" s="5">
        <v>17037.983915753</v>
      </c>
      <c r="CQ12" s="5">
        <v>18989.9219664046</v>
      </c>
      <c r="CR12" s="5">
        <v>15743.275869372201</v>
      </c>
      <c r="CS12" s="5">
        <v>16290.6168230888</v>
      </c>
      <c r="CT12" s="5">
        <v>15638.3301251751</v>
      </c>
      <c r="CU12" s="5">
        <v>559.05308710900795</v>
      </c>
      <c r="CV12" s="5">
        <v>557.19270307670001</v>
      </c>
      <c r="CW12" s="5">
        <v>691.85647817765903</v>
      </c>
      <c r="CX12" s="5">
        <v>560.16240288079302</v>
      </c>
      <c r="CY12" s="5">
        <v>616.785468467859</v>
      </c>
      <c r="CZ12" s="6">
        <v>908.70257438021201</v>
      </c>
    </row>
    <row r="13" spans="1:104" x14ac:dyDescent="0.2">
      <c r="A13">
        <v>1592</v>
      </c>
      <c r="B13" s="5">
        <v>1785</v>
      </c>
      <c r="C13" s="5" t="s">
        <v>64</v>
      </c>
      <c r="D13" s="5"/>
      <c r="E13" s="5" t="s">
        <v>109</v>
      </c>
      <c r="F13" s="5" t="s">
        <v>109</v>
      </c>
      <c r="G13" s="5" t="s">
        <v>109</v>
      </c>
      <c r="H13" s="5">
        <v>3</v>
      </c>
      <c r="I13" s="5" t="s">
        <v>110</v>
      </c>
      <c r="J13" s="5">
        <v>633.60541999999998</v>
      </c>
      <c r="K13" s="5">
        <v>633.60540000000003</v>
      </c>
      <c r="L13" s="5">
        <v>634.61269659999994</v>
      </c>
      <c r="M13" s="5">
        <v>6.9660000000000002</v>
      </c>
      <c r="N13" s="5">
        <v>6.9660000000000002</v>
      </c>
      <c r="O13" s="5"/>
      <c r="P13" s="5"/>
      <c r="Q13" s="5"/>
      <c r="R13" s="5">
        <v>1</v>
      </c>
      <c r="S13" s="5" t="s">
        <v>70</v>
      </c>
      <c r="T13" s="5" t="s">
        <v>71</v>
      </c>
      <c r="U13">
        <f t="shared" si="0"/>
        <v>0.14432807980122728</v>
      </c>
      <c r="V13">
        <f t="shared" si="1"/>
        <v>0.25209548474643489</v>
      </c>
      <c r="W13">
        <f t="shared" si="2"/>
        <v>1.8147827263640802E-2</v>
      </c>
      <c r="X13">
        <f t="shared" si="3"/>
        <v>9.4147270264931207E-2</v>
      </c>
      <c r="Y13">
        <f t="shared" si="4"/>
        <v>0.39762955381253939</v>
      </c>
      <c r="Z13">
        <f t="shared" si="5"/>
        <v>0.23343606725808769</v>
      </c>
      <c r="AA13">
        <f t="shared" si="6"/>
        <v>0.78238042438744237</v>
      </c>
      <c r="AB13">
        <f t="shared" si="7"/>
        <v>0.41870322475086208</v>
      </c>
      <c r="AC13" s="5">
        <v>28506.9117479612</v>
      </c>
      <c r="AD13" s="5">
        <v>26593.056842133701</v>
      </c>
      <c r="AE13" s="5">
        <v>31006.498069044301</v>
      </c>
      <c r="AF13" s="5">
        <v>24619.599320138801</v>
      </c>
      <c r="AG13" s="5">
        <v>22752.646760453099</v>
      </c>
      <c r="AH13" s="5">
        <v>29639.659624137199</v>
      </c>
      <c r="AI13" s="5">
        <v>27320.651885809599</v>
      </c>
      <c r="AJ13" s="5">
        <v>34377.357827738502</v>
      </c>
      <c r="AK13" s="5">
        <v>29391.066344454699</v>
      </c>
      <c r="AL13" s="5">
        <v>23138.659243243001</v>
      </c>
      <c r="AM13" s="5">
        <v>22413.607410095799</v>
      </c>
      <c r="AN13" s="5">
        <v>33141.407704209902</v>
      </c>
      <c r="AO13" s="5">
        <v>36050.307278919703</v>
      </c>
      <c r="AP13" s="5">
        <v>27986.430425028899</v>
      </c>
      <c r="AQ13" s="5">
        <v>31670.619936077601</v>
      </c>
      <c r="AR13" s="5">
        <v>28975.463338907801</v>
      </c>
      <c r="AS13" s="5">
        <v>26929.686784940499</v>
      </c>
      <c r="AT13" s="5">
        <v>25692.9204999715</v>
      </c>
      <c r="AU13" s="5">
        <v>20970.5332160094</v>
      </c>
      <c r="AV13" s="5">
        <v>28037.007548579299</v>
      </c>
      <c r="AW13" s="5">
        <v>34168.897205298003</v>
      </c>
      <c r="AX13" s="5">
        <v>24819.933649592</v>
      </c>
      <c r="AY13" s="5">
        <v>28386.340912451898</v>
      </c>
      <c r="AZ13" s="5">
        <v>23565.579608480301</v>
      </c>
      <c r="BA13" s="5">
        <v>33750.666900507502</v>
      </c>
      <c r="BB13" s="5">
        <v>36634.416311506298</v>
      </c>
      <c r="BC13" s="5">
        <v>35746.876832006797</v>
      </c>
      <c r="BD13" s="5">
        <v>17569.454157497599</v>
      </c>
      <c r="BE13" s="5">
        <v>39817.696031701198</v>
      </c>
      <c r="BF13" s="5">
        <v>28158.1398403321</v>
      </c>
      <c r="BG13" s="5">
        <v>20679.195385406201</v>
      </c>
      <c r="BH13" s="5">
        <v>26490.9253623312</v>
      </c>
      <c r="BI13" s="5">
        <v>18250.5403305006</v>
      </c>
      <c r="BJ13" s="5">
        <v>25357.369119943902</v>
      </c>
      <c r="BK13" s="5">
        <v>18106.033556137401</v>
      </c>
      <c r="BL13" s="5">
        <v>25492.844917251601</v>
      </c>
      <c r="BM13" s="5">
        <v>25081.709361752</v>
      </c>
      <c r="BN13" s="5">
        <v>19189.446531145299</v>
      </c>
      <c r="BO13" s="5">
        <v>22322.5274051585</v>
      </c>
      <c r="BP13" s="5">
        <v>31468.8692037084</v>
      </c>
      <c r="BQ13" s="5">
        <v>28262.9213026998</v>
      </c>
      <c r="BR13" s="5">
        <v>29093.2358919039</v>
      </c>
      <c r="BS13" s="5">
        <v>27820.701416767301</v>
      </c>
      <c r="BT13" s="5">
        <v>34840.5046704099</v>
      </c>
      <c r="BU13" s="5">
        <v>24557.910756642599</v>
      </c>
      <c r="BV13" s="5">
        <v>48601.516536788498</v>
      </c>
      <c r="BW13" s="5">
        <v>21222.391857918399</v>
      </c>
      <c r="BX13" s="5">
        <v>31130.1163663445</v>
      </c>
      <c r="BY13" s="5">
        <v>30463.4433508574</v>
      </c>
      <c r="BZ13" s="5">
        <v>31209.694284301</v>
      </c>
      <c r="CA13">
        <f t="shared" si="8"/>
        <v>-0.78963714822910058</v>
      </c>
      <c r="CB13">
        <f t="shared" si="9"/>
        <v>-0.51118152696403429</v>
      </c>
      <c r="CC13">
        <f t="shared" si="10"/>
        <v>-0.33890660786441612</v>
      </c>
      <c r="CD13">
        <f t="shared" si="11"/>
        <v>-0.19950623090732575</v>
      </c>
      <c r="CE13" s="7">
        <f t="shared" si="12"/>
        <v>5.4782906031342019E-2</v>
      </c>
      <c r="CF13" s="7">
        <f t="shared" si="13"/>
        <v>0.16345893232395739</v>
      </c>
      <c r="CG13" s="7">
        <f t="shared" si="14"/>
        <v>0.55434541487187439</v>
      </c>
      <c r="CH13" s="7">
        <f t="shared" si="15"/>
        <v>0.87878098391489068</v>
      </c>
      <c r="CI13" s="5">
        <v>15503.5863245788</v>
      </c>
      <c r="CJ13" s="5">
        <v>16629.381671217499</v>
      </c>
      <c r="CK13" s="5">
        <v>21037.794070090298</v>
      </c>
      <c r="CL13" s="5">
        <v>18876.621344688399</v>
      </c>
      <c r="CM13" s="5">
        <v>29533.835840242598</v>
      </c>
      <c r="CN13" s="5">
        <v>30446.159687357202</v>
      </c>
      <c r="CO13" s="5">
        <v>28478.714759064202</v>
      </c>
      <c r="CP13" s="5">
        <v>29021.326340393902</v>
      </c>
      <c r="CQ13" s="5">
        <v>30591.0034186499</v>
      </c>
      <c r="CR13" s="5">
        <v>31052.428753101802</v>
      </c>
      <c r="CS13" s="5">
        <v>29342.739317684802</v>
      </c>
      <c r="CT13" s="5">
        <v>29043.030538315099</v>
      </c>
      <c r="CU13" s="5">
        <v>688.73772304752504</v>
      </c>
      <c r="CV13" s="5">
        <v>3312.33528175232</v>
      </c>
      <c r="CW13" s="5">
        <v>1127.0084930517401</v>
      </c>
      <c r="CX13" s="5">
        <v>638.88694544778502</v>
      </c>
      <c r="CY13" s="5">
        <v>874.576190759008</v>
      </c>
      <c r="CZ13" s="6">
        <v>2904.3613775292101</v>
      </c>
    </row>
    <row r="14" spans="1:104" x14ac:dyDescent="0.2">
      <c r="A14">
        <v>2157</v>
      </c>
      <c r="B14" s="5">
        <v>2432</v>
      </c>
      <c r="C14" s="5" t="s">
        <v>64</v>
      </c>
      <c r="D14" s="5"/>
      <c r="E14" s="5" t="s">
        <v>111</v>
      </c>
      <c r="F14" s="5" t="s">
        <v>111</v>
      </c>
      <c r="G14" s="5" t="s">
        <v>111</v>
      </c>
      <c r="H14" s="5">
        <v>3</v>
      </c>
      <c r="I14" s="5" t="s">
        <v>112</v>
      </c>
      <c r="J14" s="5">
        <v>651.65206999999998</v>
      </c>
      <c r="K14" s="5">
        <v>651.65210000000002</v>
      </c>
      <c r="L14" s="5">
        <v>652.65934659999994</v>
      </c>
      <c r="M14" s="5">
        <v>7.492</v>
      </c>
      <c r="N14" s="5">
        <v>7.492</v>
      </c>
      <c r="O14" s="5"/>
      <c r="P14" s="5"/>
      <c r="Q14" s="5"/>
      <c r="R14" s="5">
        <v>2</v>
      </c>
      <c r="S14" s="5" t="s">
        <v>70</v>
      </c>
      <c r="T14" s="5" t="s">
        <v>71</v>
      </c>
      <c r="U14">
        <f t="shared" si="0"/>
        <v>1.8823656527270544E-2</v>
      </c>
      <c r="V14">
        <f t="shared" si="1"/>
        <v>-0.70051572203987778</v>
      </c>
      <c r="W14">
        <f t="shared" si="2"/>
        <v>-0.7926976858356739</v>
      </c>
      <c r="X14">
        <f t="shared" si="3"/>
        <v>-0.14868916491969211</v>
      </c>
      <c r="Y14">
        <f t="shared" si="4"/>
        <v>0.91471031732556352</v>
      </c>
      <c r="Z14">
        <f t="shared" si="5"/>
        <v>2.9383748151933252E-2</v>
      </c>
      <c r="AA14">
        <f t="shared" si="6"/>
        <v>1.1189279396365527E-2</v>
      </c>
      <c r="AB14">
        <f t="shared" si="7"/>
        <v>0.90886754790766777</v>
      </c>
      <c r="AC14" s="5">
        <v>7981.0385575666396</v>
      </c>
      <c r="AD14" s="5">
        <v>11694.1249375855</v>
      </c>
      <c r="AE14" s="5">
        <v>15281.3099454188</v>
      </c>
      <c r="AF14" s="5">
        <v>12374.423655301</v>
      </c>
      <c r="AG14" s="5">
        <v>10872.740629173501</v>
      </c>
      <c r="AH14" s="5">
        <v>11847.7045274272</v>
      </c>
      <c r="AI14" s="5">
        <v>13034.5162804421</v>
      </c>
      <c r="AJ14" s="5">
        <v>13841.1321707482</v>
      </c>
      <c r="AK14" s="5">
        <v>10537.236400788001</v>
      </c>
      <c r="AL14" s="5">
        <v>8083.9707958025001</v>
      </c>
      <c r="AM14" s="5">
        <v>5372.6396960771399</v>
      </c>
      <c r="AN14" s="5">
        <v>7196.0054678344704</v>
      </c>
      <c r="AO14" s="5">
        <v>9803.0027548303406</v>
      </c>
      <c r="AP14" s="5">
        <v>5132.1530417661797</v>
      </c>
      <c r="AQ14" s="5">
        <v>9933.8459284869496</v>
      </c>
      <c r="AR14" s="5">
        <v>8037.4008236741502</v>
      </c>
      <c r="AS14" s="5">
        <v>6750.5933695984204</v>
      </c>
      <c r="AT14" s="5">
        <v>6430.5940511771296</v>
      </c>
      <c r="AU14" s="5">
        <v>5536.7435178527903</v>
      </c>
      <c r="AV14" s="5">
        <v>9304.0372426628801</v>
      </c>
      <c r="AW14" s="5">
        <v>10548.915919086199</v>
      </c>
      <c r="AX14" s="5">
        <v>14932.989774388199</v>
      </c>
      <c r="AY14" s="5">
        <v>9423.4048351434194</v>
      </c>
      <c r="AZ14" s="5">
        <v>8676.2636231422493</v>
      </c>
      <c r="BA14" s="5">
        <v>13622.712298189501</v>
      </c>
      <c r="BB14" s="5">
        <v>9572.0307428290507</v>
      </c>
      <c r="BC14" s="5">
        <v>10475.903905282001</v>
      </c>
      <c r="BD14" s="5">
        <v>3247.9243526976102</v>
      </c>
      <c r="BE14" s="5">
        <v>7097.8691024908803</v>
      </c>
      <c r="BF14" s="5">
        <v>7523.6070942228798</v>
      </c>
      <c r="BG14" s="5">
        <v>7396.91957048321</v>
      </c>
      <c r="BH14" s="5">
        <v>15420.3237123052</v>
      </c>
      <c r="BI14" s="5">
        <v>9649.2053589583993</v>
      </c>
      <c r="BJ14" s="5">
        <v>10066.532520286701</v>
      </c>
      <c r="BK14" s="5">
        <v>9799.6919111726202</v>
      </c>
      <c r="BL14" s="5">
        <v>25512.739889794299</v>
      </c>
      <c r="BM14" s="5">
        <v>11327.0358040068</v>
      </c>
      <c r="BN14" s="5">
        <v>9721.5986818072597</v>
      </c>
      <c r="BO14" s="5">
        <v>10069.622905651901</v>
      </c>
      <c r="BP14" s="5">
        <v>15228.260689542099</v>
      </c>
      <c r="BQ14" s="5">
        <v>7327.5983182995296</v>
      </c>
      <c r="BR14" s="5">
        <v>6843.7974350087297</v>
      </c>
      <c r="BS14" s="5">
        <v>8379.7682262288909</v>
      </c>
      <c r="BT14" s="5">
        <v>11065.6856254341</v>
      </c>
      <c r="BU14" s="5">
        <v>5785.5186522926897</v>
      </c>
      <c r="BV14" s="5">
        <v>12334.0619772718</v>
      </c>
      <c r="BW14" s="5">
        <v>5485.3097928953002</v>
      </c>
      <c r="BX14" s="5">
        <v>10341.5478677092</v>
      </c>
      <c r="BY14" s="5">
        <v>8772.6881987836296</v>
      </c>
      <c r="BZ14" s="5">
        <v>10210.8897588782</v>
      </c>
      <c r="CA14">
        <f t="shared" si="8"/>
        <v>0.38131188471404454</v>
      </c>
      <c r="CB14">
        <f t="shared" si="9"/>
        <v>0.59027395463568388</v>
      </c>
      <c r="CC14">
        <f t="shared" si="10"/>
        <v>-3.808408842566785E-2</v>
      </c>
      <c r="CD14">
        <f t="shared" si="11"/>
        <v>0.4406121715953541</v>
      </c>
      <c r="CE14" s="7">
        <f t="shared" si="12"/>
        <v>0.15276059212474444</v>
      </c>
      <c r="CF14" s="7">
        <f t="shared" si="13"/>
        <v>6.7120864353613321E-2</v>
      </c>
      <c r="CG14" s="7">
        <f t="shared" si="14"/>
        <v>0.85201048955325609</v>
      </c>
      <c r="CH14" s="7">
        <f t="shared" si="15"/>
        <v>0.30703865360433996</v>
      </c>
      <c r="CI14" s="5">
        <v>4990.7438837774998</v>
      </c>
      <c r="CJ14" s="5">
        <v>4904.6986704631299</v>
      </c>
      <c r="CK14" s="5">
        <v>6260.6314221682796</v>
      </c>
      <c r="CL14" s="5">
        <v>5338.0021457520897</v>
      </c>
      <c r="CM14" s="5">
        <v>9573.5965237683595</v>
      </c>
      <c r="CN14" s="5">
        <v>10907.128584961099</v>
      </c>
      <c r="CO14" s="5">
        <v>9066.8963949985791</v>
      </c>
      <c r="CP14" s="5">
        <v>9468.0818816206101</v>
      </c>
      <c r="CQ14" s="5">
        <v>9340.25842864886</v>
      </c>
      <c r="CR14" s="5">
        <v>9931.6934887204898</v>
      </c>
      <c r="CS14" s="5">
        <v>9566.6527810584594</v>
      </c>
      <c r="CT14" s="5">
        <v>10201.6306907285</v>
      </c>
      <c r="CU14" s="5">
        <v>236.699964920225</v>
      </c>
      <c r="CV14" s="5">
        <v>247.670183588252</v>
      </c>
      <c r="CW14" s="5">
        <v>246.79175571200599</v>
      </c>
      <c r="CX14" s="5">
        <v>235.85654748878699</v>
      </c>
      <c r="CY14" s="5">
        <v>244.53042071741299</v>
      </c>
      <c r="CZ14" s="6">
        <v>263.706908152165</v>
      </c>
    </row>
    <row r="16" spans="1:104" x14ac:dyDescent="0.2">
      <c r="A16">
        <v>429</v>
      </c>
      <c r="B16" s="5">
        <v>497</v>
      </c>
      <c r="C16" s="5" t="s">
        <v>64</v>
      </c>
      <c r="D16" s="5" t="s">
        <v>72</v>
      </c>
      <c r="E16" s="5" t="s">
        <v>73</v>
      </c>
      <c r="F16" s="5" t="s">
        <v>74</v>
      </c>
      <c r="G16" s="5" t="s">
        <v>74</v>
      </c>
      <c r="H16" s="5">
        <v>2</v>
      </c>
      <c r="I16" s="5" t="s">
        <v>75</v>
      </c>
      <c r="J16" s="5">
        <v>537.51134999999999</v>
      </c>
      <c r="K16" s="5">
        <v>537.51139999999998</v>
      </c>
      <c r="L16" s="5">
        <v>538.51862659999995</v>
      </c>
      <c r="M16" s="5">
        <v>5.1959999999999997</v>
      </c>
      <c r="N16" s="5">
        <v>5.1959999999999997</v>
      </c>
      <c r="O16" s="5">
        <v>1.2066883418485832</v>
      </c>
      <c r="P16" t="s">
        <v>76</v>
      </c>
      <c r="Q16" s="5">
        <v>4.306</v>
      </c>
      <c r="R16" s="5">
        <v>1</v>
      </c>
      <c r="S16" s="5" t="s">
        <v>70</v>
      </c>
      <c r="T16" s="5" t="s">
        <v>71</v>
      </c>
      <c r="AC16">
        <f>(AC3/$AC2)*0.059213</f>
        <v>3.2765575523034954E-2</v>
      </c>
      <c r="AD16">
        <f t="shared" ref="AD16:BZ21" si="16">(AD3/$AC2)*0.059213</f>
        <v>3.085549556553693E-2</v>
      </c>
      <c r="AE16">
        <f t="shared" si="16"/>
        <v>3.4292327503617971E-2</v>
      </c>
      <c r="AF16">
        <f t="shared" si="16"/>
        <v>2.995291597069806E-2</v>
      </c>
      <c r="AG16">
        <f t="shared" si="16"/>
        <v>2.5860649423538884E-2</v>
      </c>
      <c r="AH16">
        <f t="shared" si="16"/>
        <v>2.6715028497151749E-2</v>
      </c>
      <c r="AI16">
        <f t="shared" si="16"/>
        <v>3.7941290802139115E-2</v>
      </c>
      <c r="AJ16">
        <f t="shared" si="16"/>
        <v>2.8363225528910872E-2</v>
      </c>
      <c r="AK16">
        <f t="shared" si="16"/>
        <v>3.802057079851464E-2</v>
      </c>
      <c r="AL16">
        <f t="shared" si="16"/>
        <v>3.6089975155057984E-2</v>
      </c>
      <c r="AM16">
        <f t="shared" si="16"/>
        <v>3.2898658982178725E-2</v>
      </c>
      <c r="AN16">
        <f t="shared" si="16"/>
        <v>1.6470286437077163E-2</v>
      </c>
      <c r="AO16">
        <f t="shared" si="16"/>
        <v>3.7842349099439808E-2</v>
      </c>
      <c r="AP16">
        <f t="shared" si="16"/>
        <v>3.1487755697488407E-2</v>
      </c>
      <c r="AQ16">
        <f t="shared" si="16"/>
        <v>3.0122687360890878E-2</v>
      </c>
      <c r="AR16">
        <f t="shared" si="16"/>
        <v>2.5342362356755351E-2</v>
      </c>
      <c r="AS16">
        <f t="shared" si="16"/>
        <v>3.0766992131810333E-2</v>
      </c>
      <c r="AT16">
        <f t="shared" si="16"/>
        <v>1.3836348895504497E-2</v>
      </c>
      <c r="AU16">
        <f t="shared" si="16"/>
        <v>3.2845153464963701E-2</v>
      </c>
      <c r="AV16">
        <f t="shared" si="16"/>
        <v>3.1608775209286906E-2</v>
      </c>
      <c r="AW16">
        <f t="shared" si="16"/>
        <v>1.9566417178026589E-2</v>
      </c>
      <c r="AX16">
        <f t="shared" si="16"/>
        <v>3.0740079104749848E-2</v>
      </c>
      <c r="AY16">
        <f t="shared" si="16"/>
        <v>2.9400769099401917E-2</v>
      </c>
      <c r="AZ16">
        <f t="shared" si="16"/>
        <v>2.2731364079773966E-2</v>
      </c>
      <c r="BA16">
        <f t="shared" si="16"/>
        <v>1.8089765598044875E-2</v>
      </c>
      <c r="BB16">
        <f t="shared" si="16"/>
        <v>3.6358291581682342E-2</v>
      </c>
      <c r="BC16">
        <f t="shared" si="16"/>
        <v>2.46876898533233E-2</v>
      </c>
      <c r="BD16">
        <f t="shared" si="16"/>
        <v>4.8522784924124443E-2</v>
      </c>
      <c r="BE16">
        <f t="shared" si="16"/>
        <v>3.476068939194564E-2</v>
      </c>
      <c r="BF16">
        <f t="shared" si="16"/>
        <v>2.7056785228507168E-2</v>
      </c>
      <c r="BG16">
        <f t="shared" si="16"/>
        <v>2.2287861632626488E-2</v>
      </c>
      <c r="BH16">
        <f t="shared" si="16"/>
        <v>3.2454593021843954E-2</v>
      </c>
      <c r="BI16">
        <f t="shared" si="16"/>
        <v>2.4189001506015068E-2</v>
      </c>
      <c r="BJ16">
        <f t="shared" si="16"/>
        <v>2.8129612104005979E-2</v>
      </c>
      <c r="BK16">
        <f t="shared" si="16"/>
        <v>2.6736500809354437E-2</v>
      </c>
      <c r="BL16">
        <f t="shared" si="16"/>
        <v>3.1935790168257608E-2</v>
      </c>
      <c r="BM16">
        <f t="shared" si="16"/>
        <v>2.4187849202923464E-2</v>
      </c>
      <c r="BN16">
        <f t="shared" si="16"/>
        <v>3.1250287497397299E-2</v>
      </c>
      <c r="BO16">
        <f t="shared" si="16"/>
        <v>2.0948001665650501E-2</v>
      </c>
      <c r="BP16">
        <f t="shared" si="16"/>
        <v>3.7438847772917547E-2</v>
      </c>
      <c r="BQ16">
        <f t="shared" si="16"/>
        <v>4.2191417610068886E-2</v>
      </c>
      <c r="BR16">
        <f t="shared" si="16"/>
        <v>2.6866835521077513E-2</v>
      </c>
      <c r="BS16">
        <f t="shared" si="16"/>
        <v>2.5670188642594967E-2</v>
      </c>
      <c r="BT16">
        <f t="shared" si="16"/>
        <v>2.5687262008744799E-2</v>
      </c>
      <c r="BU16">
        <f t="shared" si="16"/>
        <v>3.5129437191750226E-2</v>
      </c>
      <c r="BV16">
        <f t="shared" si="16"/>
        <v>3.3190015116665042E-2</v>
      </c>
      <c r="BW16">
        <f t="shared" si="16"/>
        <v>2.9218104688973071E-2</v>
      </c>
      <c r="BX16">
        <f t="shared" si="16"/>
        <v>1.9165916872625709E-2</v>
      </c>
      <c r="BY16">
        <f t="shared" si="16"/>
        <v>2.2575244257697264E-2</v>
      </c>
      <c r="BZ16">
        <f t="shared" si="16"/>
        <v>1.877572054406414E-2</v>
      </c>
    </row>
    <row r="17" spans="1:78" x14ac:dyDescent="0.2">
      <c r="A17">
        <v>428</v>
      </c>
      <c r="B17" s="5">
        <v>496</v>
      </c>
      <c r="C17" s="5" t="s">
        <v>64</v>
      </c>
      <c r="D17" s="5" t="s">
        <v>77</v>
      </c>
      <c r="E17" s="5" t="s">
        <v>78</v>
      </c>
      <c r="F17" s="5" t="s">
        <v>79</v>
      </c>
      <c r="G17" s="5" t="s">
        <v>79</v>
      </c>
      <c r="H17" s="5">
        <v>2</v>
      </c>
      <c r="I17" s="5" t="s">
        <v>80</v>
      </c>
      <c r="J17" s="5">
        <v>565.54312000000004</v>
      </c>
      <c r="K17" s="5">
        <v>565.54309999999998</v>
      </c>
      <c r="L17" s="5">
        <v>566.5503966</v>
      </c>
      <c r="M17" s="5">
        <v>6.1689999999999996</v>
      </c>
      <c r="N17" s="5">
        <v>6.1689999999999996</v>
      </c>
      <c r="O17" s="5">
        <v>1.4326521133302368</v>
      </c>
      <c r="P17" t="s">
        <v>76</v>
      </c>
      <c r="Q17" s="5">
        <v>4.306</v>
      </c>
      <c r="R17" s="5">
        <v>3</v>
      </c>
      <c r="S17" s="5" t="s">
        <v>70</v>
      </c>
      <c r="T17" s="5" t="s">
        <v>71</v>
      </c>
      <c r="AC17">
        <f>(AC4/$AC3)*0.059213</f>
        <v>3.2545136221870052</v>
      </c>
      <c r="AD17">
        <f t="shared" ref="AC17:AR26" si="17">(AD4/$AC3)*0.059213</f>
        <v>3.3114773326859241</v>
      </c>
      <c r="AE17">
        <f t="shared" si="17"/>
        <v>3.3614363082105951</v>
      </c>
      <c r="AF17">
        <f t="shared" si="17"/>
        <v>2.7439264398902248</v>
      </c>
      <c r="AG17">
        <f t="shared" si="17"/>
        <v>2.9413274646621557</v>
      </c>
      <c r="AH17">
        <f t="shared" si="17"/>
        <v>2.9629500663678132</v>
      </c>
      <c r="AI17">
        <f t="shared" si="17"/>
        <v>3.0954833587878663</v>
      </c>
      <c r="AJ17">
        <f t="shared" si="17"/>
        <v>2.9601140975885154</v>
      </c>
      <c r="AK17">
        <f t="shared" si="17"/>
        <v>3.3989869084788857</v>
      </c>
      <c r="AL17">
        <f t="shared" si="17"/>
        <v>3.0985771858782027</v>
      </c>
      <c r="AM17">
        <f t="shared" si="17"/>
        <v>3.0512031330542122</v>
      </c>
      <c r="AN17">
        <f t="shared" si="17"/>
        <v>2.1344491551949027</v>
      </c>
      <c r="AO17">
        <f t="shared" si="17"/>
        <v>2.67562322297041</v>
      </c>
      <c r="AP17">
        <f t="shared" si="17"/>
        <v>3.1583911373166078</v>
      </c>
      <c r="AQ17">
        <f t="shared" si="17"/>
        <v>3.19629367150542</v>
      </c>
      <c r="AR17">
        <f t="shared" si="17"/>
        <v>3.2038401366935294</v>
      </c>
      <c r="AS17">
        <f t="shared" si="16"/>
        <v>3.7786477303034274</v>
      </c>
      <c r="AT17">
        <f t="shared" si="16"/>
        <v>2.6402262473085574</v>
      </c>
      <c r="AU17">
        <f t="shared" si="16"/>
        <v>3.8162806327395939</v>
      </c>
      <c r="AV17">
        <f t="shared" si="16"/>
        <v>2.5839827649340816</v>
      </c>
      <c r="AW17">
        <f t="shared" si="16"/>
        <v>3.6436376604327765</v>
      </c>
      <c r="AX17">
        <f t="shared" si="16"/>
        <v>3.5209348743694253</v>
      </c>
      <c r="AY17">
        <f t="shared" si="16"/>
        <v>3.3085612182454556</v>
      </c>
      <c r="AZ17">
        <f t="shared" si="16"/>
        <v>2.6993472744834377</v>
      </c>
      <c r="BA17">
        <f t="shared" si="16"/>
        <v>2.5320321117070703</v>
      </c>
      <c r="BB17">
        <f t="shared" si="16"/>
        <v>3.8488371410350455</v>
      </c>
      <c r="BC17">
        <f t="shared" si="16"/>
        <v>3.0866988836800342</v>
      </c>
      <c r="BD17">
        <f t="shared" si="16"/>
        <v>4.0434730211455276</v>
      </c>
      <c r="BE17">
        <f t="shared" si="16"/>
        <v>4.2784799296762719</v>
      </c>
      <c r="BF17">
        <f t="shared" si="16"/>
        <v>2.6001686031064963</v>
      </c>
      <c r="BG17">
        <f t="shared" si="16"/>
        <v>2.4715054369654523</v>
      </c>
      <c r="BH17">
        <f t="shared" si="16"/>
        <v>3.2112573107694349</v>
      </c>
      <c r="BI17">
        <f t="shared" si="16"/>
        <v>2.0827333067943123</v>
      </c>
      <c r="BJ17">
        <f t="shared" si="16"/>
        <v>2.6914550029572055</v>
      </c>
      <c r="BK17">
        <f t="shared" si="16"/>
        <v>2.3066533975549692</v>
      </c>
      <c r="BL17">
        <f t="shared" si="16"/>
        <v>3.0001040219286739</v>
      </c>
      <c r="BM17">
        <f t="shared" si="16"/>
        <v>2.7847238731482093</v>
      </c>
      <c r="BN17">
        <f t="shared" si="16"/>
        <v>2.3182807289975442</v>
      </c>
      <c r="BO17">
        <f t="shared" si="16"/>
        <v>2.3497711547034004</v>
      </c>
      <c r="BP17">
        <f t="shared" si="16"/>
        <v>3.4731584474296984</v>
      </c>
      <c r="BQ17">
        <f t="shared" si="16"/>
        <v>4.0280893785362206</v>
      </c>
      <c r="BR17">
        <f t="shared" si="16"/>
        <v>2.6884140626666833</v>
      </c>
      <c r="BS17">
        <f t="shared" si="16"/>
        <v>3.1669242187557711</v>
      </c>
      <c r="BT17">
        <f t="shared" si="16"/>
        <v>2.8689189828705555</v>
      </c>
      <c r="BU17">
        <f t="shared" si="16"/>
        <v>4.0065600189783197</v>
      </c>
      <c r="BV17">
        <f t="shared" si="16"/>
        <v>3.6428156098016751</v>
      </c>
      <c r="BW17">
        <f t="shared" si="16"/>
        <v>2.9287492071284853</v>
      </c>
      <c r="BX17">
        <f t="shared" si="16"/>
        <v>2.5436212171582833</v>
      </c>
      <c r="BY17">
        <f t="shared" si="16"/>
        <v>2.2761394639395234</v>
      </c>
      <c r="BZ17">
        <f t="shared" si="16"/>
        <v>3.3970176337399374</v>
      </c>
    </row>
    <row r="18" spans="1:78" x14ac:dyDescent="0.2">
      <c r="A18">
        <v>427</v>
      </c>
      <c r="B18" s="5">
        <v>495</v>
      </c>
      <c r="C18" s="5" t="s">
        <v>64</v>
      </c>
      <c r="D18" s="5" t="s">
        <v>81</v>
      </c>
      <c r="E18" s="5" t="s">
        <v>82</v>
      </c>
      <c r="F18" s="5" t="s">
        <v>83</v>
      </c>
      <c r="G18" s="5" t="s">
        <v>83</v>
      </c>
      <c r="H18" s="5">
        <v>2</v>
      </c>
      <c r="I18" s="5" t="s">
        <v>84</v>
      </c>
      <c r="J18" s="5">
        <v>621.60528999999997</v>
      </c>
      <c r="K18" s="5">
        <v>621.60530000000006</v>
      </c>
      <c r="L18" s="5">
        <v>622.61256659999992</v>
      </c>
      <c r="M18" s="5">
        <v>7.0490000000000004</v>
      </c>
      <c r="N18" s="5">
        <v>7.0490000000000004</v>
      </c>
      <c r="O18" s="5">
        <v>1.6370181142591733</v>
      </c>
      <c r="P18" t="s">
        <v>76</v>
      </c>
      <c r="Q18" s="5">
        <v>4.306</v>
      </c>
      <c r="R18" s="5">
        <v>6</v>
      </c>
      <c r="S18" s="5" t="s">
        <v>70</v>
      </c>
      <c r="T18" s="5" t="s">
        <v>71</v>
      </c>
      <c r="AC18">
        <f>(AC5/$AC4)*0.059213</f>
        <v>1.8599924494465903E-2</v>
      </c>
      <c r="AD18">
        <f t="shared" si="16"/>
        <v>9.7028062396179258E-3</v>
      </c>
      <c r="AE18">
        <f t="shared" si="16"/>
        <v>9.4923787497884909E-3</v>
      </c>
      <c r="AF18">
        <f t="shared" si="16"/>
        <v>6.4032475441501285E-3</v>
      </c>
      <c r="AG18">
        <f t="shared" si="16"/>
        <v>9.7253029461976757E-3</v>
      </c>
      <c r="AH18">
        <f t="shared" si="16"/>
        <v>5.5892327382197462E-3</v>
      </c>
      <c r="AI18">
        <f t="shared" si="16"/>
        <v>1.9702858278904084E-2</v>
      </c>
      <c r="AJ18">
        <f t="shared" si="16"/>
        <v>5.2329170329297719E-3</v>
      </c>
      <c r="AK18">
        <f t="shared" si="16"/>
        <v>1.6143535795677663E-2</v>
      </c>
      <c r="AL18">
        <f t="shared" si="16"/>
        <v>7.4788483850471831E-3</v>
      </c>
      <c r="AM18">
        <f t="shared" si="16"/>
        <v>6.4164416952143316E-3</v>
      </c>
      <c r="AN18">
        <f t="shared" si="16"/>
        <v>7.7667021786219821E-3</v>
      </c>
      <c r="AO18">
        <f t="shared" si="16"/>
        <v>5.5032119416876749E-3</v>
      </c>
      <c r="AP18">
        <f t="shared" si="16"/>
        <v>9.1575523240415187E-3</v>
      </c>
      <c r="AQ18">
        <f t="shared" si="16"/>
        <v>1.5078249177949751E-2</v>
      </c>
      <c r="AR18">
        <f t="shared" si="16"/>
        <v>1.5973697284278696E-2</v>
      </c>
      <c r="AS18">
        <f t="shared" si="16"/>
        <v>1.8375405632496851E-2</v>
      </c>
      <c r="AT18">
        <f t="shared" si="16"/>
        <v>1.9980898480100474E-2</v>
      </c>
      <c r="AU18">
        <f t="shared" si="16"/>
        <v>1.6718078338667255E-2</v>
      </c>
      <c r="AV18">
        <f t="shared" si="16"/>
        <v>8.3735527512957351E-3</v>
      </c>
      <c r="AW18">
        <f t="shared" si="16"/>
        <v>1.4537561799683747E-2</v>
      </c>
      <c r="AX18">
        <f t="shared" si="16"/>
        <v>1.0309731787077328E-2</v>
      </c>
      <c r="AY18">
        <f t="shared" si="16"/>
        <v>1.3542581609850834E-2</v>
      </c>
      <c r="AZ18">
        <f t="shared" si="16"/>
        <v>8.255537162240284E-3</v>
      </c>
      <c r="BA18">
        <f t="shared" si="16"/>
        <v>9.5316306420235707E-3</v>
      </c>
      <c r="BB18">
        <f t="shared" si="16"/>
        <v>1.2712338405267707E-2</v>
      </c>
      <c r="BC18">
        <f t="shared" si="16"/>
        <v>1.0551217702666069E-2</v>
      </c>
      <c r="BD18">
        <f t="shared" si="16"/>
        <v>8.046731529952951E-3</v>
      </c>
      <c r="BE18">
        <f t="shared" si="16"/>
        <v>1.5413173128642509E-2</v>
      </c>
      <c r="BF18">
        <f t="shared" si="16"/>
        <v>5.4278949531091358E-3</v>
      </c>
      <c r="BG18">
        <f t="shared" si="16"/>
        <v>1.1308592341103655E-2</v>
      </c>
      <c r="BH18">
        <f t="shared" si="16"/>
        <v>1.5463195148720878E-2</v>
      </c>
      <c r="BI18">
        <f t="shared" si="16"/>
        <v>3.8359426979732167E-3</v>
      </c>
      <c r="BJ18">
        <f t="shared" si="16"/>
        <v>7.4213970178272888E-3</v>
      </c>
      <c r="BK18">
        <f t="shared" si="16"/>
        <v>8.3915355081779289E-3</v>
      </c>
      <c r="BL18">
        <f t="shared" si="16"/>
        <v>1.2553875592858926E-2</v>
      </c>
      <c r="BM18">
        <f t="shared" si="16"/>
        <v>8.3221376315721959E-3</v>
      </c>
      <c r="BN18">
        <f t="shared" si="16"/>
        <v>9.3100753629203493E-3</v>
      </c>
      <c r="BO18">
        <f t="shared" si="16"/>
        <v>8.5810950144453967E-3</v>
      </c>
      <c r="BP18">
        <f t="shared" si="16"/>
        <v>6.2881056282346479E-3</v>
      </c>
      <c r="BQ18">
        <f t="shared" si="16"/>
        <v>9.7756019237600911E-3</v>
      </c>
      <c r="BR18">
        <f t="shared" si="16"/>
        <v>1.0821326772602368E-2</v>
      </c>
      <c r="BS18">
        <f t="shared" si="16"/>
        <v>1.9583894526958402E-2</v>
      </c>
      <c r="BT18">
        <f t="shared" si="16"/>
        <v>1.2027276690968609E-2</v>
      </c>
      <c r="BU18">
        <f t="shared" si="16"/>
        <v>1.1807769900334081E-2</v>
      </c>
      <c r="BV18">
        <f t="shared" si="16"/>
        <v>1.7469613809237217E-2</v>
      </c>
      <c r="BW18">
        <f t="shared" si="16"/>
        <v>1.2489996409559858E-2</v>
      </c>
      <c r="BX18">
        <f t="shared" si="16"/>
        <v>6.8218678641406979E-3</v>
      </c>
      <c r="BY18">
        <f t="shared" si="16"/>
        <v>9.8967348447636192E-3</v>
      </c>
      <c r="BZ18">
        <f t="shared" si="16"/>
        <v>7.3271073010395043E-3</v>
      </c>
    </row>
    <row r="19" spans="1:78" x14ac:dyDescent="0.2">
      <c r="A19">
        <v>426</v>
      </c>
      <c r="B19" s="5">
        <v>494</v>
      </c>
      <c r="C19" s="5" t="s">
        <v>64</v>
      </c>
      <c r="D19" s="5" t="s">
        <v>85</v>
      </c>
      <c r="E19" s="5" t="s">
        <v>86</v>
      </c>
      <c r="F19" s="5" t="s">
        <v>87</v>
      </c>
      <c r="G19" s="5" t="s">
        <v>87</v>
      </c>
      <c r="H19" s="5">
        <v>2</v>
      </c>
      <c r="I19" s="5" t="s">
        <v>88</v>
      </c>
      <c r="J19" s="5">
        <v>635.62108999999998</v>
      </c>
      <c r="K19" s="5">
        <v>635.62109999999996</v>
      </c>
      <c r="L19" s="5">
        <v>636.62836659999994</v>
      </c>
      <c r="M19" s="5">
        <v>7.2080000000000002</v>
      </c>
      <c r="N19" s="5">
        <v>7.2080000000000002</v>
      </c>
      <c r="O19" s="5">
        <v>1.6739433348815607</v>
      </c>
      <c r="P19" t="s">
        <v>76</v>
      </c>
      <c r="Q19" s="5">
        <v>4.306</v>
      </c>
      <c r="R19" s="5">
        <v>4</v>
      </c>
      <c r="S19" s="5" t="s">
        <v>70</v>
      </c>
      <c r="T19" s="5" t="s">
        <v>71</v>
      </c>
      <c r="AC19">
        <f t="shared" si="17"/>
        <v>7.8724723467289304E-3</v>
      </c>
      <c r="AD19">
        <f t="shared" si="16"/>
        <v>1.0266104076139045E-2</v>
      </c>
      <c r="AE19">
        <f t="shared" si="16"/>
        <v>8.1142448719676991E-3</v>
      </c>
      <c r="AF19">
        <f t="shared" si="16"/>
        <v>7.8848647275994339E-3</v>
      </c>
      <c r="AG19">
        <f t="shared" si="16"/>
        <v>9.9715398202792661E-3</v>
      </c>
      <c r="AH19">
        <f t="shared" si="16"/>
        <v>1.0454150674318112E-2</v>
      </c>
      <c r="AI19">
        <f t="shared" si="16"/>
        <v>8.2482034916088742E-3</v>
      </c>
      <c r="AJ19">
        <f t="shared" si="16"/>
        <v>1.1355009969629327E-2</v>
      </c>
      <c r="AK19">
        <f t="shared" si="16"/>
        <v>1.3295978692365047E-2</v>
      </c>
      <c r="AL19">
        <f t="shared" si="16"/>
        <v>8.5665627262904356E-3</v>
      </c>
      <c r="AM19">
        <f t="shared" si="16"/>
        <v>1.3082107620691263E-2</v>
      </c>
      <c r="AN19">
        <f t="shared" si="16"/>
        <v>8.0197610466120235E-3</v>
      </c>
      <c r="AO19">
        <f t="shared" si="16"/>
        <v>1.1074067637255162E-2</v>
      </c>
      <c r="AP19">
        <f t="shared" si="16"/>
        <v>1.2390649404463211E-2</v>
      </c>
      <c r="AQ19">
        <f t="shared" si="16"/>
        <v>1.0485143024229635E-2</v>
      </c>
      <c r="AR19">
        <f t="shared" si="16"/>
        <v>1.2690004848465884E-2</v>
      </c>
      <c r="AS19">
        <f t="shared" si="16"/>
        <v>1.2673442052236949E-2</v>
      </c>
      <c r="AT19">
        <f t="shared" si="16"/>
        <v>7.2579324122071217E-3</v>
      </c>
      <c r="AU19">
        <f t="shared" si="16"/>
        <v>1.3212346840072168E-2</v>
      </c>
      <c r="AV19">
        <f t="shared" si="16"/>
        <v>9.6298648032133536E-3</v>
      </c>
      <c r="AW19">
        <f t="shared" si="16"/>
        <v>1.2353624986650566E-2</v>
      </c>
      <c r="AX19">
        <f t="shared" si="16"/>
        <v>1.122500136232967E-2</v>
      </c>
      <c r="AY19">
        <f t="shared" si="16"/>
        <v>1.0561917512908041E-2</v>
      </c>
      <c r="AZ19">
        <f t="shared" si="16"/>
        <v>1.0641873120042271E-2</v>
      </c>
      <c r="BA19">
        <f t="shared" si="16"/>
        <v>1.2361341312630699E-2</v>
      </c>
      <c r="BB19">
        <f t="shared" si="16"/>
        <v>1.1838446408421206E-2</v>
      </c>
      <c r="BC19">
        <f t="shared" si="16"/>
        <v>1.0056979760211032E-2</v>
      </c>
      <c r="BD19">
        <f t="shared" si="16"/>
        <v>1.046362967623651E-2</v>
      </c>
      <c r="BE19">
        <f t="shared" si="16"/>
        <v>1.0356319444212364E-2</v>
      </c>
      <c r="BF19">
        <f t="shared" si="16"/>
        <v>7.0695236419511158E-3</v>
      </c>
      <c r="BG19">
        <f t="shared" si="16"/>
        <v>7.2654967670423886E-3</v>
      </c>
      <c r="BH19">
        <f t="shared" si="16"/>
        <v>9.3351160368164623E-3</v>
      </c>
      <c r="BI19">
        <f t="shared" si="16"/>
        <v>6.5450912947952753E-3</v>
      </c>
      <c r="BJ19">
        <f t="shared" si="16"/>
        <v>7.6194897088642617E-3</v>
      </c>
      <c r="BK19">
        <f t="shared" si="16"/>
        <v>7.0742087306869235E-3</v>
      </c>
      <c r="BL19">
        <f t="shared" si="16"/>
        <v>8.974498646534235E-3</v>
      </c>
      <c r="BM19">
        <f t="shared" si="16"/>
        <v>8.9609701747790736E-3</v>
      </c>
      <c r="BN19">
        <f t="shared" si="16"/>
        <v>7.3294278374975656E-3</v>
      </c>
      <c r="BO19">
        <f t="shared" si="16"/>
        <v>8.2126341340481076E-3</v>
      </c>
      <c r="BP19">
        <f t="shared" si="16"/>
        <v>1.0667827889153575E-2</v>
      </c>
      <c r="BQ19">
        <f t="shared" si="16"/>
        <v>1.1048781653770295E-2</v>
      </c>
      <c r="BR19">
        <f t="shared" si="16"/>
        <v>9.5584802768822561E-3</v>
      </c>
      <c r="BS19">
        <f t="shared" si="16"/>
        <v>8.9569750889453362E-3</v>
      </c>
      <c r="BT19">
        <f t="shared" si="16"/>
        <v>7.729690568724662E-3</v>
      </c>
      <c r="BU19">
        <f t="shared" si="16"/>
        <v>1.1761759670091049E-2</v>
      </c>
      <c r="BV19">
        <f t="shared" si="16"/>
        <v>1.0090556178436972E-2</v>
      </c>
      <c r="BW19">
        <f t="shared" si="16"/>
        <v>1.2355983336272568E-2</v>
      </c>
      <c r="BX19">
        <f t="shared" si="16"/>
        <v>9.5696802670185398E-3</v>
      </c>
      <c r="BY19">
        <f t="shared" si="16"/>
        <v>8.686003414002887E-3</v>
      </c>
      <c r="BZ19">
        <f t="shared" si="16"/>
        <v>1.2707920346011767E-2</v>
      </c>
    </row>
    <row r="20" spans="1:78" x14ac:dyDescent="0.2">
      <c r="A20">
        <v>425</v>
      </c>
      <c r="B20" s="5">
        <v>493</v>
      </c>
      <c r="C20" s="5" t="s">
        <v>64</v>
      </c>
      <c r="D20" s="5" t="s">
        <v>89</v>
      </c>
      <c r="E20" s="5" t="s">
        <v>90</v>
      </c>
      <c r="F20" s="5" t="s">
        <v>91</v>
      </c>
      <c r="G20" s="5" t="s">
        <v>91</v>
      </c>
      <c r="H20" s="5">
        <v>2</v>
      </c>
      <c r="I20" s="5" t="s">
        <v>92</v>
      </c>
      <c r="J20" s="5">
        <v>649.63683000000003</v>
      </c>
      <c r="K20" s="5">
        <v>649.63679999999999</v>
      </c>
      <c r="L20" s="5">
        <v>650.64410659999999</v>
      </c>
      <c r="M20" s="5">
        <v>7.3730000000000002</v>
      </c>
      <c r="N20" s="5">
        <v>7.3730000000000002</v>
      </c>
      <c r="O20" s="5">
        <v>1.7122619600557363</v>
      </c>
      <c r="P20" t="s">
        <v>76</v>
      </c>
      <c r="Q20" s="5">
        <v>4.306</v>
      </c>
      <c r="R20" s="5">
        <v>3</v>
      </c>
      <c r="S20" s="5" t="s">
        <v>70</v>
      </c>
      <c r="T20" s="5" t="s">
        <v>71</v>
      </c>
      <c r="AC20">
        <f t="shared" si="17"/>
        <v>0.23405723361193059</v>
      </c>
      <c r="AD20">
        <f t="shared" si="16"/>
        <v>0.26825428236889209</v>
      </c>
      <c r="AE20">
        <f t="shared" si="16"/>
        <v>0.22994153660287647</v>
      </c>
      <c r="AF20">
        <f t="shared" si="16"/>
        <v>0.22604642836674554</v>
      </c>
      <c r="AG20">
        <f t="shared" si="16"/>
        <v>0.20385255236078706</v>
      </c>
      <c r="AH20">
        <f t="shared" si="16"/>
        <v>0.31106620376537203</v>
      </c>
      <c r="AI20">
        <f t="shared" si="16"/>
        <v>0.24171202511252449</v>
      </c>
      <c r="AJ20">
        <f t="shared" si="16"/>
        <v>0.31872136059933304</v>
      </c>
      <c r="AK20">
        <f t="shared" si="16"/>
        <v>0.38563333495170776</v>
      </c>
      <c r="AL20">
        <f t="shared" si="16"/>
        <v>0.27042039736851042</v>
      </c>
      <c r="AM20">
        <f t="shared" si="16"/>
        <v>0.44058845485233239</v>
      </c>
      <c r="AN20">
        <f t="shared" si="16"/>
        <v>0.19560721362462574</v>
      </c>
      <c r="AO20">
        <f t="shared" si="16"/>
        <v>0.28530848999033193</v>
      </c>
      <c r="AP20">
        <f t="shared" si="16"/>
        <v>0.38894415920603526</v>
      </c>
      <c r="AQ20">
        <f t="shared" si="16"/>
        <v>0.34498054900412811</v>
      </c>
      <c r="AR20">
        <f t="shared" si="16"/>
        <v>0.34853803043319048</v>
      </c>
      <c r="AS20">
        <f t="shared" si="16"/>
        <v>0.40751669371256188</v>
      </c>
      <c r="AT20">
        <f t="shared" si="16"/>
        <v>0.18801074882439217</v>
      </c>
      <c r="AU20">
        <f t="shared" si="16"/>
        <v>0.36488308284100451</v>
      </c>
      <c r="AV20">
        <f t="shared" si="16"/>
        <v>0.25690363137941435</v>
      </c>
      <c r="AW20">
        <f t="shared" si="16"/>
        <v>0.38466596790921737</v>
      </c>
      <c r="AX20">
        <f t="shared" si="16"/>
        <v>0.33073817558112578</v>
      </c>
      <c r="AY20">
        <f t="shared" si="16"/>
        <v>0.31605922194116987</v>
      </c>
      <c r="AZ20">
        <f t="shared" si="16"/>
        <v>0.32756703984798929</v>
      </c>
      <c r="BA20">
        <f t="shared" si="16"/>
        <v>0.31992100578147381</v>
      </c>
      <c r="BB20">
        <f t="shared" si="16"/>
        <v>0.39622892290826367</v>
      </c>
      <c r="BC20">
        <f t="shared" si="16"/>
        <v>0.3760602842845297</v>
      </c>
      <c r="BD20">
        <f t="shared" si="16"/>
        <v>0.43960114498942604</v>
      </c>
      <c r="BE20">
        <f t="shared" si="16"/>
        <v>0.39466903741921139</v>
      </c>
      <c r="BF20">
        <f t="shared" si="16"/>
        <v>0.26963465189094332</v>
      </c>
      <c r="BG20">
        <f t="shared" si="16"/>
        <v>0.29071426236324627</v>
      </c>
      <c r="BH20">
        <f t="shared" si="16"/>
        <v>0.3491982352443227</v>
      </c>
      <c r="BI20">
        <f t="shared" si="16"/>
        <v>0.22077869945392914</v>
      </c>
      <c r="BJ20">
        <f t="shared" si="16"/>
        <v>0.30087324688150857</v>
      </c>
      <c r="BK20">
        <f t="shared" si="16"/>
        <v>0.27376180123164423</v>
      </c>
      <c r="BL20">
        <f t="shared" si="16"/>
        <v>0.34288936110310353</v>
      </c>
      <c r="BM20">
        <f t="shared" si="16"/>
        <v>0.33282998147823339</v>
      </c>
      <c r="BN20">
        <f t="shared" si="16"/>
        <v>0.2777775770448922</v>
      </c>
      <c r="BO20">
        <f t="shared" si="16"/>
        <v>0.30748346159832685</v>
      </c>
      <c r="BP20">
        <f t="shared" si="16"/>
        <v>0.46766455727553463</v>
      </c>
      <c r="BQ20">
        <f t="shared" si="16"/>
        <v>0.41579625414466809</v>
      </c>
      <c r="BR20">
        <f t="shared" si="16"/>
        <v>0.38538451349239117</v>
      </c>
      <c r="BS20">
        <f t="shared" si="16"/>
        <v>0.33662170384277795</v>
      </c>
      <c r="BT20">
        <f t="shared" si="16"/>
        <v>0.28175130940725446</v>
      </c>
      <c r="BU20">
        <f t="shared" si="16"/>
        <v>0.47644871413859335</v>
      </c>
      <c r="BV20">
        <f t="shared" si="16"/>
        <v>0.40123458276385787</v>
      </c>
      <c r="BW20">
        <f t="shared" si="16"/>
        <v>0.43218985415691075</v>
      </c>
      <c r="BX20">
        <f t="shared" si="16"/>
        <v>0.33383918667547602</v>
      </c>
      <c r="BY20">
        <f t="shared" si="16"/>
        <v>0.30416922913769173</v>
      </c>
      <c r="BZ20">
        <f t="shared" si="16"/>
        <v>0.48301885301186009</v>
      </c>
    </row>
    <row r="21" spans="1:78" x14ac:dyDescent="0.2">
      <c r="A21">
        <v>424</v>
      </c>
      <c r="B21" s="5">
        <v>492</v>
      </c>
      <c r="C21" s="5" t="s">
        <v>64</v>
      </c>
      <c r="D21" s="5" t="s">
        <v>93</v>
      </c>
      <c r="E21" s="5" t="s">
        <v>94</v>
      </c>
      <c r="F21" s="5" t="s">
        <v>95</v>
      </c>
      <c r="G21" s="5" t="s">
        <v>95</v>
      </c>
      <c r="H21" s="5">
        <v>2</v>
      </c>
      <c r="I21" s="5" t="s">
        <v>96</v>
      </c>
      <c r="J21" s="5">
        <v>647.62113999999997</v>
      </c>
      <c r="K21" s="5">
        <v>647.62109999999996</v>
      </c>
      <c r="L21" s="5">
        <v>648.62841659999992</v>
      </c>
      <c r="M21" s="5">
        <v>7.0129999999999999</v>
      </c>
      <c r="N21" s="5">
        <v>7.0129999999999999</v>
      </c>
      <c r="O21" s="5">
        <v>1.6286576869484439</v>
      </c>
      <c r="P21" t="s">
        <v>76</v>
      </c>
      <c r="Q21" s="5">
        <v>4.306</v>
      </c>
      <c r="R21" s="5">
        <v>5</v>
      </c>
      <c r="S21" s="5" t="s">
        <v>70</v>
      </c>
      <c r="T21" s="5" t="s">
        <v>71</v>
      </c>
      <c r="AC21">
        <f t="shared" si="17"/>
        <v>2.6169216642122867E-2</v>
      </c>
      <c r="AD21">
        <f t="shared" si="16"/>
        <v>3.5670511150873274E-2</v>
      </c>
      <c r="AE21">
        <f t="shared" si="16"/>
        <v>2.7900910226726201E-2</v>
      </c>
      <c r="AF21">
        <f t="shared" si="16"/>
        <v>2.6294173960668053E-2</v>
      </c>
      <c r="AG21">
        <f t="shared" si="16"/>
        <v>2.5355380264024147E-2</v>
      </c>
      <c r="AH21">
        <f t="shared" si="16"/>
        <v>3.0949326393917738E-2</v>
      </c>
      <c r="AI21">
        <f t="shared" si="16"/>
        <v>2.5685351861394857E-2</v>
      </c>
      <c r="AJ21">
        <f t="shared" si="16"/>
        <v>3.3365235237227474E-2</v>
      </c>
      <c r="AK21">
        <f t="shared" si="16"/>
        <v>3.7818338211920932E-2</v>
      </c>
      <c r="AL21">
        <f t="shared" si="16"/>
        <v>3.1120991010361202E-2</v>
      </c>
      <c r="AM21">
        <f t="shared" si="16"/>
        <v>4.9211594481004657E-2</v>
      </c>
      <c r="AN21">
        <f t="shared" si="16"/>
        <v>2.2043908476384908E-2</v>
      </c>
      <c r="AO21">
        <f t="shared" si="16"/>
        <v>3.2305139033734873E-2</v>
      </c>
      <c r="AP21">
        <f t="shared" si="16"/>
        <v>3.435165852129491E-2</v>
      </c>
      <c r="AQ21">
        <f t="shared" si="16"/>
        <v>3.2104857967524027E-2</v>
      </c>
      <c r="AR21">
        <f t="shared" si="16"/>
        <v>3.9893955588176828E-2</v>
      </c>
      <c r="AS21">
        <f t="shared" si="16"/>
        <v>3.5681891538160537E-2</v>
      </c>
      <c r="AT21">
        <f t="shared" si="16"/>
        <v>2.2120690750434924E-2</v>
      </c>
      <c r="AU21">
        <f t="shared" si="16"/>
        <v>3.5340412997811363E-2</v>
      </c>
      <c r="AV21">
        <f t="shared" si="16"/>
        <v>2.5642757490910027E-2</v>
      </c>
      <c r="AW21">
        <f t="shared" si="16"/>
        <v>3.9851809178331844E-2</v>
      </c>
      <c r="AX21">
        <f t="shared" si="16"/>
        <v>3.6034586463147507E-2</v>
      </c>
      <c r="AY21">
        <f t="shared" si="16"/>
        <v>3.2477823357227438E-2</v>
      </c>
      <c r="AZ21">
        <f t="shared" si="16"/>
        <v>2.738752059877738E-2</v>
      </c>
      <c r="BA21">
        <f t="shared" si="16"/>
        <v>2.9384576426737127E-2</v>
      </c>
      <c r="BB21">
        <f t="shared" si="16"/>
        <v>4.1092003141409483E-2</v>
      </c>
      <c r="BC21">
        <f t="shared" ref="BC21:BZ21" si="18">(BC8/$AC7)*0.059213</f>
        <v>3.4918701101143201E-2</v>
      </c>
      <c r="BD21">
        <f t="shared" si="18"/>
        <v>3.9252587437792683E-2</v>
      </c>
      <c r="BE21">
        <f t="shared" si="18"/>
        <v>3.691060542701731E-2</v>
      </c>
      <c r="BF21">
        <f t="shared" si="18"/>
        <v>2.4713045219202825E-2</v>
      </c>
      <c r="BG21">
        <f t="shared" si="18"/>
        <v>2.7330898146740019E-2</v>
      </c>
      <c r="BH21">
        <f t="shared" si="18"/>
        <v>3.1213963445952182E-2</v>
      </c>
      <c r="BI21">
        <f t="shared" si="18"/>
        <v>2.3281521265975554E-2</v>
      </c>
      <c r="BJ21">
        <f t="shared" si="18"/>
        <v>2.6872045252287945E-2</v>
      </c>
      <c r="BK21">
        <f t="shared" si="18"/>
        <v>2.7470394830176038E-2</v>
      </c>
      <c r="BL21">
        <f t="shared" si="18"/>
        <v>2.8776357090711923E-2</v>
      </c>
      <c r="BM21">
        <f t="shared" si="18"/>
        <v>3.1023977331565498E-2</v>
      </c>
      <c r="BN21">
        <f t="shared" si="18"/>
        <v>2.3840315199977716E-2</v>
      </c>
      <c r="BO21">
        <f t="shared" si="18"/>
        <v>2.4228403830390214E-2</v>
      </c>
      <c r="BP21">
        <f t="shared" si="18"/>
        <v>4.0627159503147832E-2</v>
      </c>
      <c r="BQ21">
        <f t="shared" si="18"/>
        <v>4.4824797504934386E-2</v>
      </c>
      <c r="BR21">
        <f t="shared" si="18"/>
        <v>3.631762671827931E-2</v>
      </c>
      <c r="BS21">
        <f t="shared" si="18"/>
        <v>3.2191171139862376E-2</v>
      </c>
      <c r="BT21">
        <f t="shared" si="18"/>
        <v>2.8675656917205607E-2</v>
      </c>
      <c r="BU21">
        <f t="shared" si="18"/>
        <v>4.156636953291807E-2</v>
      </c>
      <c r="BV21">
        <f t="shared" si="18"/>
        <v>3.4667735991056867E-2</v>
      </c>
      <c r="BW21">
        <f t="shared" si="18"/>
        <v>4.0716001080606162E-2</v>
      </c>
      <c r="BX21">
        <f t="shared" si="18"/>
        <v>3.3192136440999186E-2</v>
      </c>
      <c r="BY21">
        <f t="shared" si="18"/>
        <v>3.366469940762342E-2</v>
      </c>
      <c r="BZ21">
        <f t="shared" si="18"/>
        <v>4.1618905158243923E-2</v>
      </c>
    </row>
    <row r="22" spans="1:78" x14ac:dyDescent="0.2">
      <c r="A22">
        <v>423</v>
      </c>
      <c r="B22" s="5">
        <v>491</v>
      </c>
      <c r="C22" s="5" t="s">
        <v>64</v>
      </c>
      <c r="D22" s="5" t="s">
        <v>97</v>
      </c>
      <c r="E22" s="5" t="s">
        <v>98</v>
      </c>
      <c r="F22" s="5" t="s">
        <v>99</v>
      </c>
      <c r="G22" s="5" t="s">
        <v>99</v>
      </c>
      <c r="H22" s="5">
        <v>2</v>
      </c>
      <c r="I22" s="5" t="s">
        <v>100</v>
      </c>
      <c r="J22" s="5">
        <v>645.60541000000001</v>
      </c>
      <c r="K22" s="5">
        <v>645.60540000000003</v>
      </c>
      <c r="L22" s="5">
        <v>646.61268659999996</v>
      </c>
      <c r="M22" s="5">
        <v>6.77</v>
      </c>
      <c r="N22" s="5">
        <v>6.77</v>
      </c>
      <c r="O22" s="5">
        <v>1.5722248026010217</v>
      </c>
      <c r="P22" t="s">
        <v>76</v>
      </c>
      <c r="Q22" s="5">
        <v>4.306</v>
      </c>
      <c r="R22" s="5">
        <v>4</v>
      </c>
      <c r="S22" s="5" t="s">
        <v>70</v>
      </c>
      <c r="T22" s="5" t="s">
        <v>71</v>
      </c>
      <c r="AC22">
        <f t="shared" si="17"/>
        <v>1.2114384377993627E-2</v>
      </c>
      <c r="AD22">
        <f t="shared" si="17"/>
        <v>1.6668252673000868E-2</v>
      </c>
      <c r="AE22">
        <f t="shared" si="17"/>
        <v>1.5115409449906648E-2</v>
      </c>
      <c r="AF22">
        <f t="shared" si="17"/>
        <v>1.4035493580952666E-2</v>
      </c>
      <c r="AG22">
        <f t="shared" si="17"/>
        <v>1.0978177279669123E-2</v>
      </c>
      <c r="AH22">
        <f t="shared" si="17"/>
        <v>1.4395932801137238E-2</v>
      </c>
      <c r="AI22">
        <f t="shared" si="17"/>
        <v>1.4043443921704745E-2</v>
      </c>
      <c r="AJ22">
        <f t="shared" si="17"/>
        <v>1.433100459888295E-2</v>
      </c>
      <c r="AK22">
        <f t="shared" si="17"/>
        <v>1.4319082895954805E-2</v>
      </c>
      <c r="AL22">
        <f t="shared" si="17"/>
        <v>1.4656022677710471E-2</v>
      </c>
      <c r="AM22">
        <f t="shared" si="17"/>
        <v>2.2505210203090448E-2</v>
      </c>
      <c r="AN22">
        <f t="shared" si="17"/>
        <v>9.9505182970626473E-3</v>
      </c>
      <c r="AO22">
        <f t="shared" si="17"/>
        <v>1.5701502621026837E-2</v>
      </c>
      <c r="AP22">
        <f t="shared" si="17"/>
        <v>1.5838519584104465E-2</v>
      </c>
      <c r="AQ22">
        <f t="shared" si="17"/>
        <v>1.4459056330274368E-2</v>
      </c>
      <c r="AR22">
        <f t="shared" si="17"/>
        <v>1.5825214465690251E-2</v>
      </c>
      <c r="AS22">
        <f t="shared" ref="AD22:BZ27" si="19">(AS9/$AC8)*0.059213</f>
        <v>1.8256728808244201E-2</v>
      </c>
      <c r="AT22">
        <f t="shared" si="19"/>
        <v>8.6005496340789793E-3</v>
      </c>
      <c r="AU22">
        <f t="shared" si="19"/>
        <v>1.6680587844190107E-2</v>
      </c>
      <c r="AV22">
        <f t="shared" si="19"/>
        <v>1.2734969131774946E-2</v>
      </c>
      <c r="AW22">
        <f t="shared" si="19"/>
        <v>1.7648514608157452E-2</v>
      </c>
      <c r="AX22">
        <f t="shared" si="19"/>
        <v>1.6127255639869317E-2</v>
      </c>
      <c r="AY22">
        <f t="shared" si="19"/>
        <v>1.30984087219739E-2</v>
      </c>
      <c r="AZ22">
        <f t="shared" si="19"/>
        <v>1.2525630898488875E-2</v>
      </c>
      <c r="BA22">
        <f t="shared" si="19"/>
        <v>1.2276443356481398E-2</v>
      </c>
      <c r="BB22">
        <f t="shared" si="19"/>
        <v>1.8860489501023099E-2</v>
      </c>
      <c r="BC22">
        <f t="shared" si="19"/>
        <v>1.6167731779071791E-2</v>
      </c>
      <c r="BD22">
        <f t="shared" si="19"/>
        <v>2.0543544350135851E-2</v>
      </c>
      <c r="BE22">
        <f t="shared" si="19"/>
        <v>1.5422190009917097E-2</v>
      </c>
      <c r="BF22">
        <f t="shared" si="19"/>
        <v>1.2569670143670277E-2</v>
      </c>
      <c r="BG22">
        <f t="shared" si="19"/>
        <v>1.1431964704834487E-2</v>
      </c>
      <c r="BH22">
        <f t="shared" si="19"/>
        <v>1.240961108056844E-2</v>
      </c>
      <c r="BI22">
        <f t="shared" si="19"/>
        <v>1.1478224770407228E-2</v>
      </c>
      <c r="BJ22">
        <f t="shared" si="19"/>
        <v>1.4248517640807508E-2</v>
      </c>
      <c r="BK22">
        <f t="shared" si="19"/>
        <v>1.2762768015730706E-2</v>
      </c>
      <c r="BL22">
        <f t="shared" si="19"/>
        <v>1.2813991278937094E-2</v>
      </c>
      <c r="BM22">
        <f t="shared" si="19"/>
        <v>1.5670730824442123E-2</v>
      </c>
      <c r="BN22">
        <f t="shared" si="19"/>
        <v>1.1412282742379402E-2</v>
      </c>
      <c r="BO22">
        <f t="shared" si="19"/>
        <v>1.0451598690025333E-2</v>
      </c>
      <c r="BP22">
        <f t="shared" si="19"/>
        <v>2.0275183487913243E-2</v>
      </c>
      <c r="BQ22">
        <f t="shared" si="19"/>
        <v>2.0854595247769676E-2</v>
      </c>
      <c r="BR22">
        <f t="shared" si="19"/>
        <v>1.6731511362316136E-2</v>
      </c>
      <c r="BS22">
        <f t="shared" si="19"/>
        <v>1.3122604870756822E-2</v>
      </c>
      <c r="BT22">
        <f t="shared" si="19"/>
        <v>1.3789418615683093E-2</v>
      </c>
      <c r="BU22">
        <f t="shared" si="19"/>
        <v>1.9651903725956849E-2</v>
      </c>
      <c r="BV22">
        <f t="shared" si="19"/>
        <v>1.6118233688173913E-2</v>
      </c>
      <c r="BW22">
        <f t="shared" si="19"/>
        <v>1.7441069784222305E-2</v>
      </c>
      <c r="BX22">
        <f t="shared" si="19"/>
        <v>1.4753042776261029E-2</v>
      </c>
      <c r="BY22">
        <f t="shared" si="19"/>
        <v>1.4587079482035178E-2</v>
      </c>
      <c r="BZ22">
        <f t="shared" si="19"/>
        <v>1.8190608000762328E-2</v>
      </c>
    </row>
    <row r="23" spans="1:78" x14ac:dyDescent="0.2">
      <c r="A23">
        <v>422</v>
      </c>
      <c r="B23" s="5">
        <v>490</v>
      </c>
      <c r="C23" s="5" t="s">
        <v>64</v>
      </c>
      <c r="D23" s="5" t="s">
        <v>101</v>
      </c>
      <c r="E23" s="5" t="s">
        <v>102</v>
      </c>
      <c r="F23" s="5" t="s">
        <v>103</v>
      </c>
      <c r="G23" s="5" t="s">
        <v>103</v>
      </c>
      <c r="H23" s="5">
        <v>2</v>
      </c>
      <c r="I23" s="5" t="s">
        <v>104</v>
      </c>
      <c r="J23" s="5">
        <v>663.65224000000001</v>
      </c>
      <c r="K23" s="5">
        <v>663.65219999999999</v>
      </c>
      <c r="L23" s="5">
        <v>664.65951659999996</v>
      </c>
      <c r="M23" s="5">
        <v>7.4640000000000004</v>
      </c>
      <c r="N23" s="5">
        <v>7.4640000000000004</v>
      </c>
      <c r="O23" s="5">
        <v>1.7333952624245239</v>
      </c>
      <c r="P23" t="s">
        <v>76</v>
      </c>
      <c r="Q23" s="5">
        <v>4.306</v>
      </c>
      <c r="R23" s="5">
        <v>3</v>
      </c>
      <c r="S23" s="5" t="s">
        <v>70</v>
      </c>
      <c r="T23" s="5" t="s">
        <v>71</v>
      </c>
      <c r="AC23">
        <f t="shared" si="17"/>
        <v>4.1730717691543621E-2</v>
      </c>
      <c r="AD23">
        <f t="shared" si="19"/>
        <v>4.3717603541612901E-2</v>
      </c>
      <c r="AE23">
        <f t="shared" si="19"/>
        <v>3.9555394476535069E-2</v>
      </c>
      <c r="AF23">
        <f t="shared" si="19"/>
        <v>3.9033684083103294E-2</v>
      </c>
      <c r="AG23">
        <f t="shared" si="19"/>
        <v>3.7436409455231454E-2</v>
      </c>
      <c r="AH23">
        <f t="shared" si="19"/>
        <v>5.8242431310984819E-2</v>
      </c>
      <c r="AI23">
        <f t="shared" si="19"/>
        <v>5.6508498650716471E-2</v>
      </c>
      <c r="AJ23">
        <f t="shared" si="19"/>
        <v>6.6147038331680397E-2</v>
      </c>
      <c r="AK23">
        <f t="shared" si="19"/>
        <v>8.69081451440986E-2</v>
      </c>
      <c r="AL23">
        <f t="shared" si="19"/>
        <v>4.8969205216844724E-2</v>
      </c>
      <c r="AM23">
        <f t="shared" si="19"/>
        <v>9.9768154418407404E-2</v>
      </c>
      <c r="AN23">
        <f t="shared" si="19"/>
        <v>3.815548840867606E-2</v>
      </c>
      <c r="AO23">
        <f t="shared" si="19"/>
        <v>5.6288125098248862E-2</v>
      </c>
      <c r="AP23">
        <f t="shared" si="19"/>
        <v>8.2599557833887116E-2</v>
      </c>
      <c r="AQ23">
        <f t="shared" si="19"/>
        <v>6.0060974572049453E-2</v>
      </c>
      <c r="AR23">
        <f t="shared" si="19"/>
        <v>6.8775407292507487E-2</v>
      </c>
      <c r="AS23">
        <f t="shared" si="19"/>
        <v>6.0130213826985787E-2</v>
      </c>
      <c r="AT23">
        <f t="shared" si="19"/>
        <v>2.9310866813192886E-2</v>
      </c>
      <c r="AU23">
        <f t="shared" si="19"/>
        <v>7.5293255612841045E-2</v>
      </c>
      <c r="AV23">
        <f t="shared" si="19"/>
        <v>4.3836503039660073E-2</v>
      </c>
      <c r="AW23">
        <f t="shared" si="19"/>
        <v>5.1833839684135213E-2</v>
      </c>
      <c r="AX23">
        <f t="shared" si="19"/>
        <v>6.3653846667594716E-2</v>
      </c>
      <c r="AY23">
        <f t="shared" si="19"/>
        <v>6.7502778200629721E-2</v>
      </c>
      <c r="AZ23">
        <f t="shared" si="19"/>
        <v>6.6972241591815834E-2</v>
      </c>
      <c r="BA23">
        <f t="shared" si="19"/>
        <v>6.141455519900281E-2</v>
      </c>
      <c r="BB23">
        <f t="shared" si="19"/>
        <v>0.13160477256398781</v>
      </c>
      <c r="BC23">
        <f t="shared" si="19"/>
        <v>0.14381572338576332</v>
      </c>
      <c r="BD23">
        <f t="shared" si="19"/>
        <v>0.15205935175577484</v>
      </c>
      <c r="BE23">
        <f t="shared" si="19"/>
        <v>0.13841427841872803</v>
      </c>
      <c r="BF23">
        <f t="shared" si="19"/>
        <v>8.5977096177561274E-2</v>
      </c>
      <c r="BG23">
        <f t="shared" si="19"/>
        <v>0.1086068894556379</v>
      </c>
      <c r="BH23">
        <f t="shared" si="19"/>
        <v>0.14368320534510021</v>
      </c>
      <c r="BI23">
        <f t="shared" si="19"/>
        <v>7.9940997812951886E-2</v>
      </c>
      <c r="BJ23">
        <f t="shared" si="19"/>
        <v>0.10252658129011119</v>
      </c>
      <c r="BK23">
        <f t="shared" si="19"/>
        <v>9.858518614606547E-2</v>
      </c>
      <c r="BL23">
        <f t="shared" si="19"/>
        <v>0.12647548669584954</v>
      </c>
      <c r="BM23">
        <f t="shared" si="19"/>
        <v>0.12716539476335451</v>
      </c>
      <c r="BN23">
        <f t="shared" si="19"/>
        <v>9.7446586045211919E-2</v>
      </c>
      <c r="BO23">
        <f t="shared" si="19"/>
        <v>0.11221183320415777</v>
      </c>
      <c r="BP23">
        <f t="shared" si="19"/>
        <v>0.14613809318006227</v>
      </c>
      <c r="BQ23">
        <f t="shared" si="19"/>
        <v>0.14180229856715848</v>
      </c>
      <c r="BR23">
        <f t="shared" si="19"/>
        <v>0.131217531981281</v>
      </c>
      <c r="BS23">
        <f t="shared" si="19"/>
        <v>0.17577145831736532</v>
      </c>
      <c r="BT23">
        <f t="shared" si="19"/>
        <v>0.10249856771708345</v>
      </c>
      <c r="BU23">
        <f t="shared" si="19"/>
        <v>0.1507992282466015</v>
      </c>
      <c r="BV23">
        <f t="shared" si="19"/>
        <v>0.11640705404931863</v>
      </c>
      <c r="BW23">
        <f t="shared" si="19"/>
        <v>0.13451964454572365</v>
      </c>
      <c r="BX23">
        <f t="shared" si="19"/>
        <v>0.12164742227096724</v>
      </c>
      <c r="BY23">
        <f t="shared" si="19"/>
        <v>0.12436520334846853</v>
      </c>
      <c r="BZ23">
        <f t="shared" si="19"/>
        <v>0.17333901444214356</v>
      </c>
    </row>
    <row r="24" spans="1:78" x14ac:dyDescent="0.2">
      <c r="A24">
        <v>1979</v>
      </c>
      <c r="B24" s="5">
        <v>2231</v>
      </c>
      <c r="C24" s="5" t="s">
        <v>64</v>
      </c>
      <c r="D24" s="5"/>
      <c r="E24" s="5" t="s">
        <v>105</v>
      </c>
      <c r="F24" s="5" t="s">
        <v>105</v>
      </c>
      <c r="G24" s="5" t="s">
        <v>105</v>
      </c>
      <c r="H24" s="5">
        <v>3</v>
      </c>
      <c r="I24" s="5" t="s">
        <v>106</v>
      </c>
      <c r="J24" s="5">
        <v>677.66805999999997</v>
      </c>
      <c r="K24" s="5">
        <v>677.66809999999998</v>
      </c>
      <c r="L24" s="5">
        <v>678.67533659999992</v>
      </c>
      <c r="M24" s="5">
        <v>7.72</v>
      </c>
      <c r="N24" s="5">
        <v>7.72</v>
      </c>
      <c r="O24" s="5"/>
      <c r="P24" s="5"/>
      <c r="Q24" s="5"/>
      <c r="R24" s="5">
        <v>1</v>
      </c>
      <c r="S24" s="5" t="s">
        <v>70</v>
      </c>
      <c r="T24" s="5" t="s">
        <v>71</v>
      </c>
      <c r="AC24">
        <f t="shared" si="17"/>
        <v>1.378871629023197E-2</v>
      </c>
      <c r="AD24">
        <f t="shared" si="19"/>
        <v>1.5072141039974958E-2</v>
      </c>
      <c r="AE24">
        <f t="shared" si="19"/>
        <v>1.9124356267574076E-2</v>
      </c>
      <c r="AF24">
        <f t="shared" si="19"/>
        <v>1.5159338123249006E-2</v>
      </c>
      <c r="AG24">
        <f t="shared" si="19"/>
        <v>1.3627266921358409E-2</v>
      </c>
      <c r="AH24">
        <f t="shared" si="19"/>
        <v>1.9008474252182082E-2</v>
      </c>
      <c r="AI24">
        <f t="shared" si="19"/>
        <v>1.463275919739932E-2</v>
      </c>
      <c r="AJ24">
        <f t="shared" si="19"/>
        <v>1.5519651141151166E-2</v>
      </c>
      <c r="AK24">
        <f t="shared" si="19"/>
        <v>1.5098196803426384E-2</v>
      </c>
      <c r="AL24">
        <f t="shared" si="19"/>
        <v>9.3846661342769991E-3</v>
      </c>
      <c r="AM24">
        <f t="shared" si="19"/>
        <v>8.3788316150829618E-3</v>
      </c>
      <c r="AN24">
        <f t="shared" si="19"/>
        <v>1.1712068038810509E-2</v>
      </c>
      <c r="AO24">
        <f t="shared" si="19"/>
        <v>1.4779801488754428E-2</v>
      </c>
      <c r="AP24">
        <f t="shared" si="19"/>
        <v>7.3937694644223518E-3</v>
      </c>
      <c r="AQ24">
        <f t="shared" si="19"/>
        <v>1.4834569005740164E-2</v>
      </c>
      <c r="AR24">
        <f t="shared" si="19"/>
        <v>1.4653156693071295E-2</v>
      </c>
      <c r="AS24">
        <f t="shared" si="19"/>
        <v>1.5267832586744648E-2</v>
      </c>
      <c r="AT24">
        <f t="shared" si="19"/>
        <v>9.1999895121584793E-3</v>
      </c>
      <c r="AU24">
        <f t="shared" si="19"/>
        <v>8.2484894518255591E-3</v>
      </c>
      <c r="AV24">
        <f t="shared" si="19"/>
        <v>1.5965573689988161E-2</v>
      </c>
      <c r="AW24">
        <f t="shared" si="19"/>
        <v>1.434317385794776E-2</v>
      </c>
      <c r="AX24">
        <f t="shared" si="19"/>
        <v>1.4803898359567129E-2</v>
      </c>
      <c r="AY24">
        <f t="shared" si="19"/>
        <v>1.1916285836870735E-2</v>
      </c>
      <c r="AZ24">
        <f t="shared" si="19"/>
        <v>1.069150339468518E-2</v>
      </c>
      <c r="BA24">
        <f t="shared" si="19"/>
        <v>1.6718934877481887E-2</v>
      </c>
      <c r="BB24">
        <f t="shared" si="19"/>
        <v>1.440926171601058E-2</v>
      </c>
      <c r="BC24">
        <f t="shared" si="19"/>
        <v>1.6218485495689505E-2</v>
      </c>
      <c r="BD24">
        <f t="shared" si="19"/>
        <v>7.6689560022517034E-3</v>
      </c>
      <c r="BE24">
        <f t="shared" si="19"/>
        <v>1.6393997702052906E-2</v>
      </c>
      <c r="BF24">
        <f t="shared" si="19"/>
        <v>1.0746890016952337E-2</v>
      </c>
      <c r="BG24">
        <f t="shared" si="19"/>
        <v>1.0254101874415396E-2</v>
      </c>
      <c r="BH24">
        <f t="shared" si="19"/>
        <v>1.2093083053073037E-2</v>
      </c>
      <c r="BI24">
        <f t="shared" si="19"/>
        <v>9.6001081802744581E-3</v>
      </c>
      <c r="BJ24">
        <f t="shared" si="19"/>
        <v>1.0401349739768334E-2</v>
      </c>
      <c r="BK24">
        <f t="shared" si="19"/>
        <v>1.0773289799010237E-2</v>
      </c>
      <c r="BL24">
        <f t="shared" si="19"/>
        <v>2.8380353754977321E-2</v>
      </c>
      <c r="BM24">
        <f t="shared" si="19"/>
        <v>1.2810162377598288E-2</v>
      </c>
      <c r="BN24">
        <f t="shared" si="19"/>
        <v>9.7358457195722264E-3</v>
      </c>
      <c r="BO24">
        <f t="shared" si="19"/>
        <v>1.2476960454239499E-2</v>
      </c>
      <c r="BP24">
        <f t="shared" si="19"/>
        <v>1.8730288744333971E-2</v>
      </c>
      <c r="BQ24">
        <f t="shared" si="19"/>
        <v>1.1571643950925799E-2</v>
      </c>
      <c r="BR24">
        <f t="shared" si="19"/>
        <v>1.001772906208607E-2</v>
      </c>
      <c r="BS24">
        <f t="shared" si="19"/>
        <v>1.2358324809544517E-2</v>
      </c>
      <c r="BT24">
        <f t="shared" si="19"/>
        <v>1.4858659658735087E-2</v>
      </c>
      <c r="BU24">
        <f t="shared" si="19"/>
        <v>1.1062717041107251E-2</v>
      </c>
      <c r="BV24">
        <f t="shared" si="19"/>
        <v>1.9552440081378766E-2</v>
      </c>
      <c r="BW24">
        <f t="shared" si="19"/>
        <v>7.2522440778051908E-3</v>
      </c>
      <c r="BX24">
        <f t="shared" si="19"/>
        <v>1.432786614423622E-2</v>
      </c>
      <c r="BY24">
        <f t="shared" si="19"/>
        <v>1.5635720081979426E-2</v>
      </c>
      <c r="BZ24">
        <f t="shared" si="19"/>
        <v>1.2965438055258679E-2</v>
      </c>
    </row>
    <row r="25" spans="1:78" x14ac:dyDescent="0.2">
      <c r="A25">
        <v>700</v>
      </c>
      <c r="B25" s="5">
        <v>778</v>
      </c>
      <c r="C25" s="5" t="s">
        <v>64</v>
      </c>
      <c r="D25" s="5"/>
      <c r="E25" s="5" t="s">
        <v>107</v>
      </c>
      <c r="F25" s="5" t="s">
        <v>107</v>
      </c>
      <c r="G25" s="5" t="s">
        <v>107</v>
      </c>
      <c r="H25" s="5">
        <v>3</v>
      </c>
      <c r="I25" s="5" t="s">
        <v>108</v>
      </c>
      <c r="J25" s="5">
        <v>675.65216999999996</v>
      </c>
      <c r="K25" s="5">
        <v>675.65219999999999</v>
      </c>
      <c r="L25" s="5">
        <v>676.65944659999991</v>
      </c>
      <c r="M25" s="5">
        <v>7.3259999999999996</v>
      </c>
      <c r="N25" s="5">
        <v>7.3259999999999996</v>
      </c>
      <c r="O25" s="5"/>
      <c r="P25" s="5"/>
      <c r="Q25" s="5"/>
      <c r="R25" s="5">
        <v>1</v>
      </c>
      <c r="S25" s="5" t="s">
        <v>70</v>
      </c>
      <c r="T25" s="5" t="s">
        <v>71</v>
      </c>
      <c r="AC25">
        <f>(AC12/$AC11)*0.059213</f>
        <v>6.9539024765771285E-2</v>
      </c>
      <c r="AD25">
        <f t="shared" si="19"/>
        <v>9.0936684010296642E-2</v>
      </c>
      <c r="AE25">
        <f t="shared" si="19"/>
        <v>8.2702699550481998E-2</v>
      </c>
      <c r="AF25">
        <f t="shared" si="19"/>
        <v>6.5522721310599566E-2</v>
      </c>
      <c r="AG25">
        <f t="shared" si="19"/>
        <v>7.4198063352865731E-2</v>
      </c>
      <c r="AH25">
        <f t="shared" si="19"/>
        <v>8.9521611740686624E-2</v>
      </c>
      <c r="AI25">
        <f t="shared" si="19"/>
        <v>8.7666587970967505E-2</v>
      </c>
      <c r="AJ25">
        <f t="shared" si="19"/>
        <v>8.4295886643647164E-2</v>
      </c>
      <c r="AK25">
        <f t="shared" si="19"/>
        <v>8.2987469433515496E-2</v>
      </c>
      <c r="AL25">
        <f t="shared" si="19"/>
        <v>6.0799073302952616E-2</v>
      </c>
      <c r="AM25">
        <f t="shared" si="19"/>
        <v>5.1417750543088184E-2</v>
      </c>
      <c r="AN25">
        <f t="shared" si="19"/>
        <v>6.0030400451599394E-2</v>
      </c>
      <c r="AO25">
        <f t="shared" si="19"/>
        <v>7.7012507041388997E-2</v>
      </c>
      <c r="AP25">
        <f t="shared" si="19"/>
        <v>4.773490983194445E-2</v>
      </c>
      <c r="AQ25">
        <f t="shared" si="19"/>
        <v>7.4752128365322593E-2</v>
      </c>
      <c r="AR25">
        <f t="shared" si="19"/>
        <v>8.18612897400081E-2</v>
      </c>
      <c r="AS25">
        <f t="shared" si="19"/>
        <v>9.1381185198937703E-2</v>
      </c>
      <c r="AT25">
        <f t="shared" si="19"/>
        <v>5.3754405424010443E-2</v>
      </c>
      <c r="AU25">
        <f t="shared" si="19"/>
        <v>4.9650266804456736E-2</v>
      </c>
      <c r="AV25">
        <f t="shared" si="19"/>
        <v>9.1981220817761264E-2</v>
      </c>
      <c r="AW25">
        <f t="shared" si="19"/>
        <v>7.7711269777809691E-2</v>
      </c>
      <c r="AX25">
        <f t="shared" si="19"/>
        <v>7.6877964397160103E-2</v>
      </c>
      <c r="AY25">
        <f t="shared" si="19"/>
        <v>7.3145589062797362E-2</v>
      </c>
      <c r="AZ25">
        <f t="shared" si="19"/>
        <v>5.0295617086320049E-2</v>
      </c>
      <c r="BA25">
        <f t="shared" si="19"/>
        <v>0.10132636960513502</v>
      </c>
      <c r="BB25">
        <f t="shared" si="19"/>
        <v>9.6595172934064499E-2</v>
      </c>
      <c r="BC25">
        <f t="shared" si="19"/>
        <v>8.1519757911386159E-2</v>
      </c>
      <c r="BD25">
        <f t="shared" si="19"/>
        <v>4.1270774594551439E-2</v>
      </c>
      <c r="BE25">
        <f t="shared" si="19"/>
        <v>9.401152009200868E-2</v>
      </c>
      <c r="BF25">
        <f t="shared" si="19"/>
        <v>5.8932558817441798E-2</v>
      </c>
      <c r="BG25">
        <f t="shared" si="19"/>
        <v>5.9600804266526704E-2</v>
      </c>
      <c r="BH25">
        <f t="shared" si="19"/>
        <v>6.6734269425941906E-2</v>
      </c>
      <c r="BI25">
        <f t="shared" si="19"/>
        <v>5.591664719275799E-2</v>
      </c>
      <c r="BJ25">
        <f t="shared" si="19"/>
        <v>6.194842190748532E-2</v>
      </c>
      <c r="BK25">
        <f t="shared" si="19"/>
        <v>6.3476459453464723E-2</v>
      </c>
      <c r="BL25">
        <f t="shared" si="19"/>
        <v>5.9435450991060144E-2</v>
      </c>
      <c r="BM25">
        <f t="shared" si="19"/>
        <v>7.8295568114522207E-2</v>
      </c>
      <c r="BN25">
        <f t="shared" si="19"/>
        <v>6.5279224822907461E-2</v>
      </c>
      <c r="BO25">
        <f t="shared" si="19"/>
        <v>7.8566614699329046E-2</v>
      </c>
      <c r="BP25">
        <f t="shared" si="19"/>
        <v>0.10030729142988369</v>
      </c>
      <c r="BQ25">
        <f t="shared" si="19"/>
        <v>8.2038894433784246E-2</v>
      </c>
      <c r="BR25">
        <f t="shared" si="19"/>
        <v>6.7577622927609798E-2</v>
      </c>
      <c r="BS25">
        <f t="shared" si="19"/>
        <v>7.5849173411922613E-2</v>
      </c>
      <c r="BT25">
        <f t="shared" si="19"/>
        <v>9.2010222974933692E-2</v>
      </c>
      <c r="BU25">
        <f t="shared" si="19"/>
        <v>5.9682152498627572E-2</v>
      </c>
      <c r="BV25">
        <f t="shared" si="19"/>
        <v>0.10807961572380077</v>
      </c>
      <c r="BW25">
        <f t="shared" si="19"/>
        <v>4.1490299060734551E-2</v>
      </c>
      <c r="BX25">
        <f t="shared" si="19"/>
        <v>7.214398602130058E-2</v>
      </c>
      <c r="BY25">
        <f t="shared" si="19"/>
        <v>8.6196400420377309E-2</v>
      </c>
      <c r="BZ25">
        <f t="shared" si="19"/>
        <v>7.2420679155916365E-2</v>
      </c>
    </row>
    <row r="26" spans="1:78" x14ac:dyDescent="0.2">
      <c r="A26">
        <v>1592</v>
      </c>
      <c r="B26" s="5">
        <v>1785</v>
      </c>
      <c r="C26" s="5" t="s">
        <v>64</v>
      </c>
      <c r="D26" s="5"/>
      <c r="E26" s="5" t="s">
        <v>109</v>
      </c>
      <c r="F26" s="5" t="s">
        <v>109</v>
      </c>
      <c r="G26" s="5" t="s">
        <v>109</v>
      </c>
      <c r="H26" s="5">
        <v>3</v>
      </c>
      <c r="I26" s="5" t="s">
        <v>110</v>
      </c>
      <c r="J26" s="5">
        <v>633.60541999999998</v>
      </c>
      <c r="K26" s="5">
        <v>633.60540000000003</v>
      </c>
      <c r="L26" s="5">
        <v>634.61269659999994</v>
      </c>
      <c r="M26" s="5">
        <v>6.9660000000000002</v>
      </c>
      <c r="N26" s="5">
        <v>6.9660000000000002</v>
      </c>
      <c r="O26" s="5"/>
      <c r="P26" s="5"/>
      <c r="Q26" s="5"/>
      <c r="R26" s="5">
        <v>1</v>
      </c>
      <c r="S26" s="5" t="s">
        <v>70</v>
      </c>
      <c r="T26" s="5" t="s">
        <v>71</v>
      </c>
      <c r="AC26">
        <f t="shared" si="17"/>
        <v>0.11400177956189005</v>
      </c>
      <c r="AD26">
        <f t="shared" si="19"/>
        <v>0.10634809658785857</v>
      </c>
      <c r="AE26">
        <f t="shared" si="19"/>
        <v>0.12399785669895177</v>
      </c>
      <c r="AF26">
        <f t="shared" si="19"/>
        <v>9.8456057233111322E-2</v>
      </c>
      <c r="AG26">
        <f t="shared" si="19"/>
        <v>9.0989941084033285E-2</v>
      </c>
      <c r="AH26">
        <f t="shared" si="19"/>
        <v>0.11853174320091001</v>
      </c>
      <c r="AI26">
        <f t="shared" si="19"/>
        <v>0.10925781653622849</v>
      </c>
      <c r="AJ26">
        <f t="shared" si="19"/>
        <v>0.13747823698504805</v>
      </c>
      <c r="AK26">
        <f t="shared" si="19"/>
        <v>0.11753759565797391</v>
      </c>
      <c r="AL26">
        <f t="shared" si="19"/>
        <v>9.2533640743969234E-2</v>
      </c>
      <c r="AM26">
        <f t="shared" si="19"/>
        <v>8.9634091329981846E-2</v>
      </c>
      <c r="AN26">
        <f t="shared" si="19"/>
        <v>0.1325355580032718</v>
      </c>
      <c r="AO26">
        <f t="shared" si="19"/>
        <v>0.14416851674028613</v>
      </c>
      <c r="AP26">
        <f t="shared" si="19"/>
        <v>0.11192032655962814</v>
      </c>
      <c r="AQ26">
        <f t="shared" si="19"/>
        <v>0.12665374153688677</v>
      </c>
      <c r="AR26">
        <f t="shared" si="19"/>
        <v>0.11587556075771836</v>
      </c>
      <c r="AS26">
        <f t="shared" si="19"/>
        <v>0.10769431089802624</v>
      </c>
      <c r="AT26">
        <f t="shared" si="19"/>
        <v>0.10274836801108068</v>
      </c>
      <c r="AU26">
        <f t="shared" si="19"/>
        <v>8.3863104012232292E-2</v>
      </c>
      <c r="AV26">
        <f t="shared" si="19"/>
        <v>0.11212258915968966</v>
      </c>
      <c r="AW26">
        <f t="shared" si="19"/>
        <v>0.1366445836543432</v>
      </c>
      <c r="AX26">
        <f t="shared" si="19"/>
        <v>9.9257212765738803E-2</v>
      </c>
      <c r="AY26">
        <f t="shared" si="19"/>
        <v>0.11351960562692118</v>
      </c>
      <c r="AZ26">
        <f t="shared" si="19"/>
        <v>9.4240934813511701E-2</v>
      </c>
      <c r="BA26">
        <f t="shared" si="19"/>
        <v>0.1349720419411484</v>
      </c>
      <c r="BB26">
        <f t="shared" si="19"/>
        <v>0.14650442284480511</v>
      </c>
      <c r="BC26">
        <f t="shared" si="19"/>
        <v>0.14295507028817073</v>
      </c>
      <c r="BD26">
        <f t="shared" si="19"/>
        <v>7.0261873948132034E-2</v>
      </c>
      <c r="BE26">
        <f t="shared" si="19"/>
        <v>0.15923465318873031</v>
      </c>
      <c r="BF26">
        <f t="shared" si="19"/>
        <v>0.11260700841016204</v>
      </c>
      <c r="BG26">
        <f t="shared" si="19"/>
        <v>8.269801705240612E-2</v>
      </c>
      <c r="BH26">
        <f t="shared" si="19"/>
        <v>0.10593966334367851</v>
      </c>
      <c r="BI26">
        <f t="shared" si="19"/>
        <v>7.2985600616380916E-2</v>
      </c>
      <c r="BJ26">
        <f t="shared" si="19"/>
        <v>0.10140646697333217</v>
      </c>
      <c r="BK26">
        <f t="shared" si="19"/>
        <v>7.2407704645684218E-2</v>
      </c>
      <c r="BL26">
        <f t="shared" si="19"/>
        <v>0.10194824723059726</v>
      </c>
      <c r="BM26">
        <f t="shared" si="19"/>
        <v>0.10030407807672626</v>
      </c>
      <c r="BN26">
        <f t="shared" si="19"/>
        <v>7.6740373446968005E-2</v>
      </c>
      <c r="BO26">
        <f t="shared" si="19"/>
        <v>8.9269853957054196E-2</v>
      </c>
      <c r="BP26">
        <f t="shared" si="19"/>
        <v>0.12584692167785211</v>
      </c>
      <c r="BQ26">
        <f t="shared" si="19"/>
        <v>0.1130260391799847</v>
      </c>
      <c r="BR26">
        <f t="shared" si="19"/>
        <v>0.11634654410182131</v>
      </c>
      <c r="BS26">
        <f t="shared" si="19"/>
        <v>0.11125756091058513</v>
      </c>
      <c r="BT26">
        <f t="shared" si="19"/>
        <v>0.1393304040920931</v>
      </c>
      <c r="BU26">
        <f t="shared" si="19"/>
        <v>9.8209358955887852E-2</v>
      </c>
      <c r="BV26">
        <f t="shared" si="19"/>
        <v>0.19436196469078348</v>
      </c>
      <c r="BW26">
        <f t="shared" si="19"/>
        <v>8.4870310041055108E-2</v>
      </c>
      <c r="BX26">
        <f t="shared" si="19"/>
        <v>0.12449221771578978</v>
      </c>
      <c r="BY26">
        <f t="shared" si="19"/>
        <v>0.12182613059897479</v>
      </c>
      <c r="BZ26">
        <f t="shared" si="19"/>
        <v>0.12481045717789215</v>
      </c>
    </row>
    <row r="27" spans="1:78" x14ac:dyDescent="0.2">
      <c r="A27">
        <v>2157</v>
      </c>
      <c r="B27" s="5">
        <v>2432</v>
      </c>
      <c r="C27" s="5" t="s">
        <v>64</v>
      </c>
      <c r="D27" s="5"/>
      <c r="E27" s="5" t="s">
        <v>111</v>
      </c>
      <c r="F27" s="5" t="s">
        <v>111</v>
      </c>
      <c r="G27" s="5" t="s">
        <v>111</v>
      </c>
      <c r="H27" s="5">
        <v>3</v>
      </c>
      <c r="I27" s="5" t="s">
        <v>112</v>
      </c>
      <c r="J27" s="5">
        <v>651.65206999999998</v>
      </c>
      <c r="K27" s="5">
        <v>651.65210000000002</v>
      </c>
      <c r="L27" s="5">
        <v>652.65934659999994</v>
      </c>
      <c r="M27" s="5">
        <v>7.492</v>
      </c>
      <c r="N27" s="5">
        <v>7.492</v>
      </c>
      <c r="O27" s="5"/>
      <c r="P27" s="5"/>
      <c r="Q27" s="5"/>
      <c r="R27" s="5">
        <v>2</v>
      </c>
      <c r="S27" s="5" t="s">
        <v>70</v>
      </c>
      <c r="T27" s="5" t="s">
        <v>71</v>
      </c>
      <c r="AC27">
        <f>(AC14/$AC13)*0.059213</f>
        <v>1.6577777357555831E-2</v>
      </c>
      <c r="AD27">
        <f t="shared" si="19"/>
        <v>2.4290397572749124E-2</v>
      </c>
      <c r="AE27">
        <f t="shared" si="19"/>
        <v>3.1741502334527626E-2</v>
      </c>
      <c r="AF27">
        <f t="shared" si="19"/>
        <v>2.5703476910428305E-2</v>
      </c>
      <c r="AG27">
        <f t="shared" si="19"/>
        <v>2.2584262952345068E-2</v>
      </c>
      <c r="AH27">
        <f t="shared" si="19"/>
        <v>2.4609404708060688E-2</v>
      </c>
      <c r="AI27">
        <f t="shared" si="19"/>
        <v>2.7074585256293773E-2</v>
      </c>
      <c r="AJ27">
        <f t="shared" si="19"/>
        <v>2.8750043725277567E-2</v>
      </c>
      <c r="AK27">
        <f t="shared" si="19"/>
        <v>2.188737189479965E-2</v>
      </c>
      <c r="AL27">
        <f t="shared" si="19"/>
        <v>1.6791582580532882E-2</v>
      </c>
      <c r="AM27">
        <f t="shared" si="19"/>
        <v>1.1159753716449772E-2</v>
      </c>
      <c r="AN27">
        <f t="shared" si="19"/>
        <v>1.4947149503044882E-2</v>
      </c>
      <c r="AO27">
        <f t="shared" si="19"/>
        <v>2.0362261870168506E-2</v>
      </c>
      <c r="AP27">
        <f t="shared" si="19"/>
        <v>1.0660227973794281E-2</v>
      </c>
      <c r="AQ27">
        <f t="shared" si="19"/>
        <v>2.063404216367164E-2</v>
      </c>
      <c r="AR27">
        <f t="shared" si="19"/>
        <v>1.6694849978137496E-2</v>
      </c>
      <c r="AS27">
        <f t="shared" si="19"/>
        <v>1.4021963821550024E-2</v>
      </c>
      <c r="AT27">
        <f t="shared" si="19"/>
        <v>1.3357278716084853E-2</v>
      </c>
      <c r="AU27">
        <f t="shared" si="19"/>
        <v>1.1500621211487939E-2</v>
      </c>
      <c r="AV27">
        <f t="shared" si="19"/>
        <v>1.9325837962409192E-2</v>
      </c>
      <c r="AW27">
        <f t="shared" si="19"/>
        <v>2.1911631952258898E-2</v>
      </c>
      <c r="AX27">
        <f t="shared" si="19"/>
        <v>3.101799070094248E-2</v>
      </c>
      <c r="AY27">
        <f t="shared" si="19"/>
        <v>1.9573781805503867E-2</v>
      </c>
      <c r="AZ27">
        <f t="shared" si="19"/>
        <v>1.8021860889714404E-2</v>
      </c>
      <c r="BA27">
        <f t="shared" si="19"/>
        <v>2.829635389636289E-2</v>
      </c>
      <c r="BB27">
        <f t="shared" si="19"/>
        <v>1.9882499422817102E-2</v>
      </c>
      <c r="BC27">
        <f t="shared" ref="BC27:BZ27" si="20">(BC14/$AC13)*0.059213</f>
        <v>2.1759975385191536E-2</v>
      </c>
      <c r="BD27">
        <f t="shared" si="20"/>
        <v>6.7464110597682753E-3</v>
      </c>
      <c r="BE27">
        <f t="shared" si="20"/>
        <v>1.4743306005283128E-2</v>
      </c>
      <c r="BF27">
        <f t="shared" si="20"/>
        <v>1.5627625707371862E-2</v>
      </c>
      <c r="BG27">
        <f t="shared" si="20"/>
        <v>1.5364477302889446E-2</v>
      </c>
      <c r="BH27">
        <f t="shared" si="20"/>
        <v>3.2030254137999745E-2</v>
      </c>
      <c r="BI27">
        <f t="shared" si="20"/>
        <v>2.0042802320067766E-2</v>
      </c>
      <c r="BJ27">
        <f t="shared" si="20"/>
        <v>2.0909651504651919E-2</v>
      </c>
      <c r="BK27">
        <f t="shared" si="20"/>
        <v>2.0355384766565076E-2</v>
      </c>
      <c r="BL27">
        <f t="shared" si="20"/>
        <v>5.2993669761595044E-2</v>
      </c>
      <c r="BM27">
        <f t="shared" si="20"/>
        <v>2.3527900075343076E-2</v>
      </c>
      <c r="BN27">
        <f t="shared" si="20"/>
        <v>2.0193173776076361E-2</v>
      </c>
      <c r="BO27">
        <f t="shared" si="20"/>
        <v>2.0916070684331833E-2</v>
      </c>
      <c r="BP27">
        <f t="shared" si="20"/>
        <v>3.1631311317836676E-2</v>
      </c>
      <c r="BQ27">
        <f t="shared" si="20"/>
        <v>1.5220486984266248E-2</v>
      </c>
      <c r="BR27">
        <f t="shared" si="20"/>
        <v>1.4215562215298704E-2</v>
      </c>
      <c r="BS27">
        <f t="shared" si="20"/>
        <v>1.7405996846192175E-2</v>
      </c>
      <c r="BT27">
        <f t="shared" si="20"/>
        <v>2.298503775968266E-2</v>
      </c>
      <c r="BU27">
        <f t="shared" si="20"/>
        <v>1.2017363332340202E-2</v>
      </c>
      <c r="BV27">
        <f t="shared" si="20"/>
        <v>2.5619639837430951E-2</v>
      </c>
      <c r="BW27">
        <f t="shared" si="20"/>
        <v>1.1393785887380069E-2</v>
      </c>
      <c r="BX27">
        <f t="shared" si="20"/>
        <v>2.1480898362638674E-2</v>
      </c>
      <c r="BY27">
        <f t="shared" si="20"/>
        <v>1.8222148751406802E-2</v>
      </c>
      <c r="BZ27">
        <f t="shared" si="20"/>
        <v>2.1209502475682825E-2</v>
      </c>
    </row>
    <row r="28" spans="1:78" x14ac:dyDescent="0.2">
      <c r="AB28" t="s">
        <v>113</v>
      </c>
      <c r="AC28">
        <f>SUM(AC16:AC27)</f>
        <v>3.8417304448502754</v>
      </c>
      <c r="AD28">
        <f t="shared" ref="AD28:BZ28" si="21">SUM(AD16:AD27)</f>
        <v>3.963259707512476</v>
      </c>
      <c r="AE28">
        <f t="shared" si="21"/>
        <v>3.9834149249435491</v>
      </c>
      <c r="AF28">
        <f t="shared" si="21"/>
        <v>3.298418841701531</v>
      </c>
      <c r="AG28">
        <f t="shared" si="21"/>
        <v>3.4659070105224861</v>
      </c>
      <c r="AH28">
        <f t="shared" si="21"/>
        <v>3.6720336064507535</v>
      </c>
      <c r="AI28">
        <f t="shared" si="21"/>
        <v>3.7379567798677482</v>
      </c>
      <c r="AJ28">
        <f t="shared" si="21"/>
        <v>3.703673707382233</v>
      </c>
      <c r="AK28">
        <f t="shared" si="21"/>
        <v>4.228636528758841</v>
      </c>
      <c r="AL28">
        <f t="shared" si="21"/>
        <v>3.6953881511797571</v>
      </c>
      <c r="AM28">
        <f t="shared" si="21"/>
        <v>3.8762641825117345</v>
      </c>
      <c r="AN28">
        <f t="shared" si="21"/>
        <v>2.6516882096606893</v>
      </c>
      <c r="AO28">
        <f t="shared" si="21"/>
        <v>3.375969195532734</v>
      </c>
      <c r="AP28">
        <f t="shared" si="21"/>
        <v>3.9108702237177124</v>
      </c>
      <c r="AQ28">
        <f t="shared" si="21"/>
        <v>3.9404596700140866</v>
      </c>
      <c r="AR28">
        <f t="shared" si="21"/>
        <v>3.9599636661315292</v>
      </c>
      <c r="AS28">
        <f t="shared" si="21"/>
        <v>4.5904143905111834</v>
      </c>
      <c r="AT28">
        <f t="shared" si="21"/>
        <v>3.108404324781803</v>
      </c>
      <c r="AU28">
        <f t="shared" si="21"/>
        <v>4.5245160321591475</v>
      </c>
      <c r="AV28">
        <f t="shared" si="21"/>
        <v>3.2121080403694844</v>
      </c>
      <c r="AW28">
        <f t="shared" si="21"/>
        <v>4.4347060550193387</v>
      </c>
      <c r="AX28">
        <f t="shared" si="21"/>
        <v>4.2417206171987285</v>
      </c>
      <c r="AY28">
        <f t="shared" si="21"/>
        <v>4.0093599810207108</v>
      </c>
      <c r="AZ28">
        <f t="shared" si="21"/>
        <v>3.3486783979667964</v>
      </c>
      <c r="BA28">
        <f t="shared" si="21"/>
        <v>3.2763251303435932</v>
      </c>
      <c r="BB28">
        <f t="shared" si="21"/>
        <v>4.7749237624627971</v>
      </c>
      <c r="BC28">
        <f t="shared" si="21"/>
        <v>3.9654105006271809</v>
      </c>
      <c r="BD28">
        <f t="shared" si="21"/>
        <v>4.8879108114136738</v>
      </c>
      <c r="BE28">
        <f t="shared" si="21"/>
        <v>5.2088096999040223</v>
      </c>
      <c r="BF28">
        <f t="shared" si="21"/>
        <v>3.2305313533133693</v>
      </c>
      <c r="BG28">
        <f t="shared" si="21"/>
        <v>3.1183688028729222</v>
      </c>
      <c r="BH28">
        <f t="shared" si="21"/>
        <v>4.0218125000534517</v>
      </c>
      <c r="BI28">
        <f t="shared" si="21"/>
        <v>2.6113279439058403</v>
      </c>
      <c r="BJ28">
        <f t="shared" si="21"/>
        <v>3.3738117829778567</v>
      </c>
      <c r="BK28">
        <f t="shared" si="21"/>
        <v>2.9284486314915288</v>
      </c>
      <c r="BL28">
        <f t="shared" si="21"/>
        <v>3.8072811042431565</v>
      </c>
      <c r="BM28">
        <f t="shared" si="21"/>
        <v>3.54782262319927</v>
      </c>
      <c r="BN28">
        <f t="shared" si="21"/>
        <v>2.9485958984933447</v>
      </c>
      <c r="BO28">
        <f t="shared" si="21"/>
        <v>3.0431176826354003</v>
      </c>
      <c r="BP28">
        <f t="shared" si="21"/>
        <v>4.4787740353365688</v>
      </c>
      <c r="BQ28">
        <f t="shared" si="21"/>
        <v>4.9362401897373127</v>
      </c>
      <c r="BR28">
        <f t="shared" si="21"/>
        <v>3.5134693470983298</v>
      </c>
      <c r="BS28">
        <f t="shared" si="21"/>
        <v>3.995713271163277</v>
      </c>
      <c r="BT28">
        <f t="shared" si="21"/>
        <v>3.610262489281665</v>
      </c>
      <c r="BU28">
        <f t="shared" si="21"/>
        <v>4.9346967932125274</v>
      </c>
      <c r="BV28">
        <f t="shared" si="21"/>
        <v>4.6196070617318155</v>
      </c>
      <c r="BW28">
        <f t="shared" si="21"/>
        <v>3.7526865001977283</v>
      </c>
      <c r="BX28">
        <f t="shared" si="21"/>
        <v>3.3150554385697375</v>
      </c>
      <c r="BY28">
        <f t="shared" si="21"/>
        <v>3.0359640576845446</v>
      </c>
      <c r="BZ28">
        <f t="shared" si="21"/>
        <v>4.3834018394088137</v>
      </c>
    </row>
    <row r="29" spans="1:78" x14ac:dyDescent="0.2">
      <c r="AB29" t="s">
        <v>114</v>
      </c>
      <c r="AC29">
        <f>AC21/AC20</f>
        <v>0.11180691251572984</v>
      </c>
      <c r="AD29">
        <f t="shared" ref="AD29:BZ29" si="22">AD21/AD20</f>
        <v>0.13297275568492389</v>
      </c>
      <c r="AE29">
        <f t="shared" si="22"/>
        <v>0.12133914837193087</v>
      </c>
      <c r="AF29">
        <f t="shared" si="22"/>
        <v>0.11632200584035539</v>
      </c>
      <c r="AG29">
        <f t="shared" si="22"/>
        <v>0.12438098012699443</v>
      </c>
      <c r="AH29">
        <f t="shared" si="22"/>
        <v>9.9494339209096117E-2</v>
      </c>
      <c r="AI29">
        <f t="shared" si="22"/>
        <v>0.10626426984523225</v>
      </c>
      <c r="AJ29">
        <f t="shared" si="22"/>
        <v>0.10468465362499238</v>
      </c>
      <c r="AK29">
        <f t="shared" si="22"/>
        <v>9.8068125300051823E-2</v>
      </c>
      <c r="AL29">
        <f t="shared" si="22"/>
        <v>0.11508374114232087</v>
      </c>
      <c r="AM29">
        <f t="shared" si="22"/>
        <v>0.11169515210628571</v>
      </c>
      <c r="AN29">
        <f t="shared" si="22"/>
        <v>0.11269476246764407</v>
      </c>
      <c r="AO29">
        <f t="shared" si="22"/>
        <v>0.11322880379349937</v>
      </c>
      <c r="AP29">
        <f t="shared" si="22"/>
        <v>8.8320283794512053E-2</v>
      </c>
      <c r="AQ29">
        <f t="shared" si="22"/>
        <v>9.3062806179080707E-2</v>
      </c>
      <c r="AR29">
        <f t="shared" si="22"/>
        <v>0.11446083957780298</v>
      </c>
      <c r="AS29">
        <f t="shared" si="22"/>
        <v>8.7559337049707295E-2</v>
      </c>
      <c r="AT29">
        <f t="shared" si="22"/>
        <v>0.11765652170821536</v>
      </c>
      <c r="AU29">
        <f t="shared" si="22"/>
        <v>9.6854073701220955E-2</v>
      </c>
      <c r="AV29">
        <f t="shared" si="22"/>
        <v>9.98146945343832E-2</v>
      </c>
      <c r="AW29">
        <f t="shared" si="22"/>
        <v>0.10360107860578148</v>
      </c>
      <c r="AX29">
        <f t="shared" si="22"/>
        <v>0.10895200228952309</v>
      </c>
      <c r="AY29">
        <f t="shared" si="22"/>
        <v>0.10275866389139167</v>
      </c>
      <c r="AZ29">
        <f t="shared" si="22"/>
        <v>8.3608902200559707E-2</v>
      </c>
      <c r="BA29">
        <f t="shared" si="22"/>
        <v>9.1849475013243254E-2</v>
      </c>
      <c r="BB29">
        <f t="shared" si="22"/>
        <v>0.1037077324890875</v>
      </c>
      <c r="BC29">
        <f t="shared" si="22"/>
        <v>9.2853998575195149E-2</v>
      </c>
      <c r="BD29">
        <f t="shared" si="22"/>
        <v>8.9291367607190475E-2</v>
      </c>
      <c r="BE29">
        <f t="shared" si="22"/>
        <v>9.3522931690766087E-2</v>
      </c>
      <c r="BF29">
        <f t="shared" si="22"/>
        <v>9.165381765989887E-2</v>
      </c>
      <c r="BG29">
        <f t="shared" si="22"/>
        <v>9.4012925009472614E-2</v>
      </c>
      <c r="BH29">
        <f t="shared" si="22"/>
        <v>8.9387517735056085E-2</v>
      </c>
      <c r="BI29">
        <f t="shared" si="22"/>
        <v>0.1054518453254763</v>
      </c>
      <c r="BJ29">
        <f t="shared" si="22"/>
        <v>8.9313508365437458E-2</v>
      </c>
      <c r="BK29">
        <f t="shared" si="22"/>
        <v>0.10034414847720809</v>
      </c>
      <c r="BL29">
        <f t="shared" si="22"/>
        <v>8.3923155265406876E-2</v>
      </c>
      <c r="BM29">
        <f t="shared" si="22"/>
        <v>9.3212688333471017E-2</v>
      </c>
      <c r="BN29">
        <f t="shared" si="22"/>
        <v>8.5825196740501611E-2</v>
      </c>
      <c r="BO29">
        <f t="shared" si="22"/>
        <v>7.8795795079347614E-2</v>
      </c>
      <c r="BP29">
        <f t="shared" si="22"/>
        <v>8.6872436388655952E-2</v>
      </c>
      <c r="BQ29">
        <f t="shared" si="22"/>
        <v>0.10780471699328605</v>
      </c>
      <c r="BR29">
        <f t="shared" si="22"/>
        <v>9.4237379673525329E-2</v>
      </c>
      <c r="BS29">
        <f t="shared" si="22"/>
        <v>9.5630111702178111E-2</v>
      </c>
      <c r="BT29">
        <f t="shared" si="22"/>
        <v>0.10177648145640623</v>
      </c>
      <c r="BU29">
        <f t="shared" si="22"/>
        <v>8.7242064674408801E-2</v>
      </c>
      <c r="BV29">
        <f t="shared" si="22"/>
        <v>8.6402661884855958E-2</v>
      </c>
      <c r="BW29">
        <f t="shared" si="22"/>
        <v>9.4208599968253356E-2</v>
      </c>
      <c r="BX29">
        <f t="shared" si="22"/>
        <v>9.9425525120468122E-2</v>
      </c>
      <c r="BY29">
        <f t="shared" si="22"/>
        <v>0.11067753139612961</v>
      </c>
      <c r="BZ29">
        <f t="shared" si="22"/>
        <v>8.6164142245648556E-2</v>
      </c>
    </row>
    <row r="30" spans="1:78" x14ac:dyDescent="0.2">
      <c r="AC30" s="8" t="s">
        <v>115</v>
      </c>
      <c r="AD30" s="8" t="s">
        <v>116</v>
      </c>
      <c r="AE30" s="8"/>
      <c r="AF30" s="8"/>
      <c r="AG30" s="8"/>
      <c r="AH30" s="8" t="s">
        <v>115</v>
      </c>
      <c r="AI30" s="8" t="s">
        <v>116</v>
      </c>
    </row>
    <row r="31" spans="1:78" x14ac:dyDescent="0.2">
      <c r="AB31" s="8" t="s">
        <v>28</v>
      </c>
      <c r="AC31">
        <f>AVERAGE(AC28:AG28)</f>
        <v>3.7105461859060638</v>
      </c>
      <c r="AD31">
        <f>AVERAGE(AC29:AG29)</f>
        <v>0.12136436050798689</v>
      </c>
      <c r="AG31" s="8" t="s">
        <v>33</v>
      </c>
      <c r="AH31">
        <f>AVERAGE(BB28:BF28)</f>
        <v>4.4135172255442088</v>
      </c>
      <c r="AI31">
        <f>AVERAGE(BB29:BF29)</f>
        <v>9.420596960442762E-2</v>
      </c>
    </row>
    <row r="32" spans="1:78" x14ac:dyDescent="0.2">
      <c r="AB32" s="8" t="s">
        <v>29</v>
      </c>
      <c r="AC32">
        <f>AVERAGE(AH28:AL28)</f>
        <v>3.8075377547278664</v>
      </c>
      <c r="AD32">
        <f>AVERAGE(AH29:AL29)</f>
        <v>0.1047190258243387</v>
      </c>
      <c r="AG32" s="8" t="s">
        <v>34</v>
      </c>
      <c r="AH32">
        <f>AVERAGE(BG28:BK28)</f>
        <v>3.21075393226032</v>
      </c>
      <c r="AI32">
        <f>AVERAGE(BG29:BK29)</f>
        <v>9.5701988982530101E-2</v>
      </c>
    </row>
    <row r="33" spans="28:35" x14ac:dyDescent="0.2">
      <c r="AB33" s="8" t="s">
        <v>30</v>
      </c>
      <c r="AC33">
        <f>AVERAGE(AM28:AQ28)</f>
        <v>3.5510502962873916</v>
      </c>
      <c r="AD33">
        <f>AVERAGE(AM29:AQ29)</f>
        <v>0.10380036166820439</v>
      </c>
      <c r="AG33" s="8" t="s">
        <v>35</v>
      </c>
      <c r="AH33">
        <f>AVERAGE(BL28:BP28)</f>
        <v>3.5651182687815477</v>
      </c>
      <c r="AI33">
        <f>AVERAGE(BL29:BP29)</f>
        <v>8.5725854361476617E-2</v>
      </c>
    </row>
    <row r="34" spans="28:35" x14ac:dyDescent="0.2">
      <c r="AB34" s="8" t="s">
        <v>31</v>
      </c>
      <c r="AC34">
        <f>AVERAGE(AR28:AV28)</f>
        <v>3.87908129079063</v>
      </c>
      <c r="AD34">
        <f>AVERAGE(AR29:AV29)</f>
        <v>0.10326909331426597</v>
      </c>
      <c r="AG34" s="8" t="s">
        <v>36</v>
      </c>
      <c r="AH34">
        <f>AVERAGE(BQ28:BU28)</f>
        <v>4.1980764180986228</v>
      </c>
      <c r="AI34">
        <f>AVERAGE(BQ29:BU29)</f>
        <v>9.733815089996091E-2</v>
      </c>
    </row>
    <row r="35" spans="28:35" x14ac:dyDescent="0.2">
      <c r="AB35" s="8" t="s">
        <v>32</v>
      </c>
      <c r="AC35">
        <f>AVERAGE(AW28:BA28)</f>
        <v>3.8621580363098338</v>
      </c>
      <c r="AD35">
        <f>AVERAGE(AW29:BA29)</f>
        <v>9.8154024400099835E-2</v>
      </c>
      <c r="AG35" s="8" t="s">
        <v>37</v>
      </c>
      <c r="AH35">
        <f>AVERAGE(BV28:BZ28)</f>
        <v>3.8213429795185276</v>
      </c>
      <c r="AI35">
        <f>AVERAGE(BV29:BZ29)</f>
        <v>9.5375692123071135E-2</v>
      </c>
    </row>
    <row r="36" spans="28:35" x14ac:dyDescent="0.2">
      <c r="AF36" s="8"/>
    </row>
    <row r="54" spans="1:104" x14ac:dyDescent="0.2">
      <c r="A54">
        <v>4874</v>
      </c>
      <c r="B54" s="5">
        <v>5590</v>
      </c>
      <c r="C54" s="5" t="s">
        <v>64</v>
      </c>
      <c r="D54" s="5"/>
      <c r="E54" s="5" t="s">
        <v>117</v>
      </c>
      <c r="F54" s="5" t="s">
        <v>117</v>
      </c>
      <c r="G54" s="5" t="s">
        <v>117</v>
      </c>
      <c r="H54" s="5">
        <v>3</v>
      </c>
      <c r="I54" s="5" t="s">
        <v>118</v>
      </c>
      <c r="J54" s="5">
        <v>783.65809999999999</v>
      </c>
      <c r="K54" s="5">
        <v>783.65809999999999</v>
      </c>
      <c r="L54" s="5">
        <v>784.66537659999995</v>
      </c>
      <c r="M54" s="5">
        <v>6.7779999999999996</v>
      </c>
      <c r="N54" s="5">
        <v>6.7779999999999996</v>
      </c>
      <c r="O54" s="5"/>
      <c r="P54" s="5"/>
      <c r="Q54" s="5"/>
      <c r="R54" s="5">
        <v>1</v>
      </c>
      <c r="S54" s="5" t="s">
        <v>70</v>
      </c>
      <c r="T54" s="5" t="s">
        <v>71</v>
      </c>
      <c r="U54">
        <f t="shared" ref="U54:U61" si="23">LOG((MEDIAN(AH54:AL54)/MEDIAN(AC54:AG54)),2)</f>
        <v>0.48431065051708289</v>
      </c>
      <c r="V54">
        <f t="shared" ref="V54:V61" si="24">LOG((MEDIAN(AM54:AQ54)/MEDIAN(AC54:AG54)),2)</f>
        <v>0.23096320526175895</v>
      </c>
      <c r="W54">
        <f t="shared" ref="W54:W61" si="25">LOG((MEDIAN(AR54:AV54)/MEDIAN(AC54:AG54)),2)</f>
        <v>0.29782578111023389</v>
      </c>
      <c r="X54">
        <f t="shared" ref="X54:X61" si="26">LOG((MEDIAN(AW54:BA54)/MEDIAN(AC54:AG54)),2)</f>
        <v>1.1471639806266749</v>
      </c>
      <c r="Y54">
        <f t="shared" ref="Y54:Y61" si="27">TTEST(AC54:AG54,AH54:AL54,2,2)</f>
        <v>0.66445363453592043</v>
      </c>
      <c r="Z54">
        <f t="shared" ref="Z54:Z61" si="28">TTEST(AC54:AG54,AM54:AQ54,2,2)</f>
        <v>0.64975232128194671</v>
      </c>
      <c r="AA54">
        <f t="shared" ref="AA54:AA61" si="29">TTEST(AC54:AG54,AR54:AV54,2,2)</f>
        <v>0.41890252240807824</v>
      </c>
      <c r="AB54">
        <f t="shared" ref="AB54:AB61" si="30">TTEST(AC54:AG54,AW54:BA54,2,2)</f>
        <v>0.22233065293794488</v>
      </c>
      <c r="AC54" s="5">
        <v>67304.460949866596</v>
      </c>
      <c r="AD54" s="5">
        <v>26621.5522919164</v>
      </c>
      <c r="AE54" s="5">
        <v>126596.757229137</v>
      </c>
      <c r="AF54" s="5">
        <v>13803.687297804599</v>
      </c>
      <c r="AG54" s="5">
        <v>48556.761219493797</v>
      </c>
      <c r="AH54" s="5">
        <v>34698.740660302297</v>
      </c>
      <c r="AI54" s="5">
        <v>143373.577694026</v>
      </c>
      <c r="AJ54" s="5">
        <v>67926.892054619195</v>
      </c>
      <c r="AK54" s="5">
        <v>83468.110885835107</v>
      </c>
      <c r="AL54" s="5">
        <v>19410.067835392801</v>
      </c>
      <c r="AM54" s="5">
        <v>95734.931068340302</v>
      </c>
      <c r="AN54" s="5">
        <v>107556.80008253999</v>
      </c>
      <c r="AO54" s="5">
        <v>26768.994241202399</v>
      </c>
      <c r="AP54" s="5">
        <v>56987.100921310601</v>
      </c>
      <c r="AQ54" s="5">
        <v>53988.869397246497</v>
      </c>
      <c r="AR54" s="5">
        <v>71059.188669739495</v>
      </c>
      <c r="AS54" s="5">
        <v>33802.683298374701</v>
      </c>
      <c r="AT54" s="5">
        <v>248019.29145680499</v>
      </c>
      <c r="AU54" s="5">
        <v>59690.360907876799</v>
      </c>
      <c r="AV54" s="5">
        <v>56652.885852102998</v>
      </c>
      <c r="AW54" s="5">
        <v>62691.355060851798</v>
      </c>
      <c r="AX54" s="5">
        <v>141916.70493488401</v>
      </c>
      <c r="AY54" s="5">
        <v>242016.768466098</v>
      </c>
      <c r="AZ54" s="5">
        <v>15009.013669849601</v>
      </c>
      <c r="BA54" s="5">
        <v>107542.58695832601</v>
      </c>
      <c r="BB54" s="5">
        <v>67582.6408872639</v>
      </c>
      <c r="BC54" s="5">
        <v>275494.54335551098</v>
      </c>
      <c r="BD54" s="5">
        <v>80156.066418200397</v>
      </c>
      <c r="BE54" s="5">
        <v>305524.35882087599</v>
      </c>
      <c r="BF54" s="5">
        <v>114842.25127972099</v>
      </c>
      <c r="BG54" s="5">
        <v>75653.163349527094</v>
      </c>
      <c r="BH54" s="5">
        <v>40792.283884199998</v>
      </c>
      <c r="BI54" s="5">
        <v>76362.395694278006</v>
      </c>
      <c r="BJ54" s="5">
        <v>49685.675805462</v>
      </c>
      <c r="BK54" s="5">
        <v>72942.649795809994</v>
      </c>
      <c r="BL54" s="5">
        <v>144106.37710969101</v>
      </c>
      <c r="BM54" s="5">
        <v>228920.42656757301</v>
      </c>
      <c r="BN54" s="5">
        <v>36992.743909067802</v>
      </c>
      <c r="BO54" s="5">
        <v>90292.261913545197</v>
      </c>
      <c r="BP54" s="5">
        <v>59625.3033136714</v>
      </c>
      <c r="BQ54" s="5">
        <v>36561.632759698499</v>
      </c>
      <c r="BR54" s="5">
        <v>391489.82516890002</v>
      </c>
      <c r="BS54" s="5">
        <v>22144.6028309184</v>
      </c>
      <c r="BT54" s="5">
        <v>310564.61584826099</v>
      </c>
      <c r="BU54" s="5">
        <v>226888.01526304599</v>
      </c>
      <c r="BV54" s="5">
        <v>1622564.0522930401</v>
      </c>
      <c r="BW54" s="5">
        <v>260983.393156306</v>
      </c>
      <c r="BX54" s="5">
        <v>49966.139120308297</v>
      </c>
      <c r="BY54" s="5">
        <v>58557.012019504902</v>
      </c>
      <c r="BZ54" s="5">
        <v>363425.11353323999</v>
      </c>
      <c r="CA54">
        <f t="shared" ref="CA54:CA61" si="31">LOG((MEDIAN(BG54:BK54)/MEDIAN(BB54:BF54)),2)</f>
        <v>-0.65481900274290439</v>
      </c>
      <c r="CB54">
        <f t="shared" ref="CB54:CB61" si="32">LOG((MEDIAN(BL54:BP54)/MEDIAN(BB54:BF54)),2)</f>
        <v>-0.34697925890730436</v>
      </c>
      <c r="CC54">
        <f t="shared" ref="CC54:CC61" si="33">LOG((MEDIAN(BQ54:BU54)/MEDIAN(BB54:BF54)),2)</f>
        <v>0.98232688718939953</v>
      </c>
      <c r="CD54">
        <f t="shared" ref="CD54:CD61" si="34">LOG((MEDIAN(BV54:BZ54)/MEDIAN(BB54:BF54)),2)</f>
        <v>1.1843044910041804</v>
      </c>
      <c r="CE54" s="7">
        <f t="shared" ref="CE54:CE61" si="35">TTEST(BB54:BF54,BG54:BK54,2,2)</f>
        <v>7.2491096316893988E-2</v>
      </c>
      <c r="CF54" s="7">
        <f t="shared" ref="CF54:CF61" si="36">TTEST(BB54:BF54,BL54:BP54,2,2)</f>
        <v>0.38020593889779775</v>
      </c>
      <c r="CG54" s="7">
        <f t="shared" ref="CG54:CG61" si="37">TTEST(BB54:BF54,BQ54:BU54,2,2)</f>
        <v>0.75490847420746676</v>
      </c>
      <c r="CH54" s="7">
        <f t="shared" ref="CH54:CH61" si="38">TTEST(BB54:BF54,BV54:BZ54,2,2)</f>
        <v>0.34048669047476376</v>
      </c>
      <c r="CI54" s="5">
        <v>112912.260796079</v>
      </c>
      <c r="CJ54" s="5">
        <v>82279.132904718106</v>
      </c>
      <c r="CK54" s="5">
        <v>105065.342628001</v>
      </c>
      <c r="CL54" s="5">
        <v>80221.389271519598</v>
      </c>
      <c r="CM54" s="5">
        <v>123208.06661016001</v>
      </c>
      <c r="CN54" s="5">
        <v>139471.82975640401</v>
      </c>
      <c r="CO54" s="5">
        <v>140644.91437829199</v>
      </c>
      <c r="CP54" s="5">
        <v>139798.569577191</v>
      </c>
      <c r="CQ54" s="5">
        <v>147056.84064066099</v>
      </c>
      <c r="CR54" s="5">
        <v>140273.259696711</v>
      </c>
      <c r="CS54" s="5">
        <v>139545.45005916001</v>
      </c>
      <c r="CT54" s="5">
        <v>127315.088094969</v>
      </c>
      <c r="CU54" s="5">
        <v>755.20057872145799</v>
      </c>
      <c r="CV54" s="5">
        <v>786.08803090171602</v>
      </c>
      <c r="CW54" s="5">
        <v>1156.7032763060399</v>
      </c>
      <c r="CX54" s="5">
        <v>555.72271413710905</v>
      </c>
      <c r="CY54" s="5">
        <v>635.39398003150598</v>
      </c>
      <c r="CZ54" s="6">
        <v>1073.4603861907799</v>
      </c>
    </row>
    <row r="55" spans="1:104" x14ac:dyDescent="0.2">
      <c r="A55">
        <v>398</v>
      </c>
      <c r="B55" s="5">
        <v>439</v>
      </c>
      <c r="C55" s="5" t="s">
        <v>64</v>
      </c>
      <c r="D55" s="5" t="s">
        <v>119</v>
      </c>
      <c r="E55" s="5" t="s">
        <v>120</v>
      </c>
      <c r="F55" s="5" t="s">
        <v>121</v>
      </c>
      <c r="G55" s="5" t="s">
        <v>121</v>
      </c>
      <c r="H55" s="5">
        <v>2</v>
      </c>
      <c r="I55" s="5" t="s">
        <v>122</v>
      </c>
      <c r="J55" s="5">
        <v>811.68925000000002</v>
      </c>
      <c r="K55" s="5">
        <v>811.6893</v>
      </c>
      <c r="L55" s="5">
        <v>812.69652659999997</v>
      </c>
      <c r="M55" s="5">
        <v>7.0490000000000004</v>
      </c>
      <c r="N55" s="5">
        <v>7.0490000000000004</v>
      </c>
      <c r="O55" s="5">
        <v>1.6370181142591733</v>
      </c>
      <c r="P55" t="s">
        <v>76</v>
      </c>
      <c r="Q55" s="5">
        <v>4.306</v>
      </c>
      <c r="R55" s="5">
        <v>5</v>
      </c>
      <c r="S55" s="5" t="s">
        <v>70</v>
      </c>
      <c r="T55" s="5" t="s">
        <v>71</v>
      </c>
      <c r="U55">
        <f t="shared" si="23"/>
        <v>1.3808090190260021</v>
      </c>
      <c r="V55">
        <f t="shared" si="24"/>
        <v>1.728758605747114</v>
      </c>
      <c r="W55">
        <f t="shared" si="25"/>
        <v>0.46832887861232886</v>
      </c>
      <c r="X55">
        <f t="shared" si="26"/>
        <v>-0.48940024037293178</v>
      </c>
      <c r="Y55">
        <f t="shared" si="27"/>
        <v>0.33607407457054195</v>
      </c>
      <c r="Z55">
        <f t="shared" si="28"/>
        <v>0.25143806250672185</v>
      </c>
      <c r="AA55">
        <f t="shared" si="29"/>
        <v>0.40071314082175336</v>
      </c>
      <c r="AB55">
        <f t="shared" si="30"/>
        <v>0.1540793141249597</v>
      </c>
      <c r="AC55" s="5">
        <v>209152.34609615701</v>
      </c>
      <c r="AD55" s="5">
        <v>273064.03057160799</v>
      </c>
      <c r="AE55" s="5">
        <v>156192.11645244199</v>
      </c>
      <c r="AF55" s="5">
        <v>620132.61015277402</v>
      </c>
      <c r="AG55" s="5">
        <v>141486.98098137</v>
      </c>
      <c r="AH55" s="5">
        <v>88433.271908810697</v>
      </c>
      <c r="AI55" s="5">
        <v>1000059.68992031</v>
      </c>
      <c r="AJ55" s="5">
        <v>61134.695031704301</v>
      </c>
      <c r="AK55" s="5">
        <v>748338.16228344396</v>
      </c>
      <c r="AL55" s="5">
        <v>544662.748780597</v>
      </c>
      <c r="AM55" s="5">
        <v>3639399.3432843098</v>
      </c>
      <c r="AN55" s="5">
        <v>693219.763910054</v>
      </c>
      <c r="AO55" s="5">
        <v>125520.040475114</v>
      </c>
      <c r="AP55" s="5">
        <v>161546.79668676399</v>
      </c>
      <c r="AQ55" s="5">
        <v>848332.29804431298</v>
      </c>
      <c r="AR55" s="5">
        <v>194870.55042095599</v>
      </c>
      <c r="AS55" s="5">
        <v>681231.00306048396</v>
      </c>
      <c r="AT55" s="5">
        <v>162079.80985562701</v>
      </c>
      <c r="AU55" s="5">
        <v>750484.45989959699</v>
      </c>
      <c r="AV55" s="5">
        <v>289363.52131739003</v>
      </c>
      <c r="AW55" s="5">
        <v>84592.089512695806</v>
      </c>
      <c r="AX55" s="5">
        <v>148983.64254401301</v>
      </c>
      <c r="AY55" s="5">
        <v>200006.34000934</v>
      </c>
      <c r="AZ55" s="5">
        <v>97738.369529760399</v>
      </c>
      <c r="BA55" s="5">
        <v>155878.08767379701</v>
      </c>
      <c r="BB55" s="5">
        <v>196037.207598123</v>
      </c>
      <c r="BC55" s="5">
        <v>336894.422534385</v>
      </c>
      <c r="BD55" s="5">
        <v>214025.697107491</v>
      </c>
      <c r="BE55" s="5">
        <v>216995.76181146101</v>
      </c>
      <c r="BF55" s="5">
        <v>55936.7761355845</v>
      </c>
      <c r="BG55" s="5">
        <v>202008.78013382299</v>
      </c>
      <c r="BH55" s="5">
        <v>125148.046908922</v>
      </c>
      <c r="BI55" s="5">
        <v>189515.76556816199</v>
      </c>
      <c r="BJ55" s="5">
        <v>123273.94396805001</v>
      </c>
      <c r="BK55" s="5">
        <v>228881.93153302299</v>
      </c>
      <c r="BL55" s="5">
        <v>356272.52520829201</v>
      </c>
      <c r="BM55" s="5">
        <v>548951.26037361298</v>
      </c>
      <c r="BN55" s="5">
        <v>89885.7679944759</v>
      </c>
      <c r="BO55" s="5">
        <v>229028.69676879901</v>
      </c>
      <c r="BP55" s="5">
        <v>135121.067821148</v>
      </c>
      <c r="BQ55" s="5">
        <v>169411.878985252</v>
      </c>
      <c r="BR55" s="5">
        <v>379873.73456287303</v>
      </c>
      <c r="BS55" s="5">
        <v>676474.09555666603</v>
      </c>
      <c r="BT55" s="5">
        <v>46171.927704069203</v>
      </c>
      <c r="BU55" s="5">
        <v>303699.22155072202</v>
      </c>
      <c r="BV55" s="5">
        <v>79556.510612904705</v>
      </c>
      <c r="BW55" s="5">
        <v>390613.17932350002</v>
      </c>
      <c r="BX55" s="5">
        <v>45457.969708598801</v>
      </c>
      <c r="BY55" s="5">
        <v>155275.67284867499</v>
      </c>
      <c r="BZ55" s="5">
        <v>112790.866218268</v>
      </c>
      <c r="CA55">
        <f t="shared" si="31"/>
        <v>-0.17546615566387497</v>
      </c>
      <c r="CB55">
        <f t="shared" si="32"/>
        <v>9.7744351055326598E-2</v>
      </c>
      <c r="CC55">
        <f t="shared" si="33"/>
        <v>0.50485918559668619</v>
      </c>
      <c r="CD55">
        <f t="shared" si="34"/>
        <v>-0.92413378165048754</v>
      </c>
      <c r="CE55" s="7">
        <f t="shared" si="35"/>
        <v>0.55820521111409249</v>
      </c>
      <c r="CF55" s="7">
        <f t="shared" si="36"/>
        <v>0.49170766296398205</v>
      </c>
      <c r="CG55" s="7">
        <f t="shared" si="37"/>
        <v>0.3654073658788643</v>
      </c>
      <c r="CH55" s="7">
        <f t="shared" si="38"/>
        <v>0.55045529192999543</v>
      </c>
      <c r="CI55" s="5">
        <v>291077.78761803999</v>
      </c>
      <c r="CJ55" s="5">
        <v>286317.29468008003</v>
      </c>
      <c r="CK55" s="5">
        <v>274304.741186895</v>
      </c>
      <c r="CL55" s="5">
        <v>245908.381515888</v>
      </c>
      <c r="CM55" s="5">
        <v>336450.72955027601</v>
      </c>
      <c r="CN55" s="5">
        <v>345658.270958726</v>
      </c>
      <c r="CO55" s="5">
        <v>352905.61935666599</v>
      </c>
      <c r="CP55" s="5">
        <v>287442.715574626</v>
      </c>
      <c r="CQ55" s="5">
        <v>345246.678392075</v>
      </c>
      <c r="CR55" s="5">
        <v>348167.44772302301</v>
      </c>
      <c r="CS55" s="5">
        <v>339223.65833726898</v>
      </c>
      <c r="CT55" s="5">
        <v>334011.86113261798</v>
      </c>
      <c r="CU55" s="5">
        <v>1085.5399078282801</v>
      </c>
      <c r="CV55" s="5">
        <v>1073.9082231800101</v>
      </c>
      <c r="CW55" s="5">
        <v>1578.3202488509</v>
      </c>
      <c r="CX55" s="5">
        <v>882.69070479296397</v>
      </c>
      <c r="CY55" s="5">
        <v>1060.92739922735</v>
      </c>
      <c r="CZ55" s="6">
        <v>1646.2125626931299</v>
      </c>
    </row>
    <row r="56" spans="1:104" x14ac:dyDescent="0.2">
      <c r="A56">
        <v>5012</v>
      </c>
      <c r="B56" s="5">
        <v>5787</v>
      </c>
      <c r="C56" s="5" t="s">
        <v>64</v>
      </c>
      <c r="D56" s="5"/>
      <c r="E56" s="5" t="s">
        <v>123</v>
      </c>
      <c r="F56" s="5" t="s">
        <v>123</v>
      </c>
      <c r="G56" s="5" t="s">
        <v>123</v>
      </c>
      <c r="H56" s="5">
        <v>3</v>
      </c>
      <c r="I56" s="5" t="s">
        <v>124</v>
      </c>
      <c r="J56" s="5">
        <v>809.67355999999995</v>
      </c>
      <c r="K56" s="5">
        <v>809.67359999999996</v>
      </c>
      <c r="L56" s="5">
        <v>810.68083659999991</v>
      </c>
      <c r="M56" s="5">
        <v>6.7380000000000004</v>
      </c>
      <c r="N56" s="5">
        <v>6.7380000000000004</v>
      </c>
      <c r="O56" s="5"/>
      <c r="P56" s="5"/>
      <c r="Q56" s="5"/>
      <c r="R56" s="5">
        <v>1</v>
      </c>
      <c r="S56" s="5" t="s">
        <v>70</v>
      </c>
      <c r="T56" s="5" t="s">
        <v>71</v>
      </c>
      <c r="U56">
        <f t="shared" si="23"/>
        <v>0.32557806494498814</v>
      </c>
      <c r="V56">
        <f t="shared" si="24"/>
        <v>9.8138211535005085E-2</v>
      </c>
      <c r="W56">
        <f t="shared" si="25"/>
        <v>9.3287968717143815E-2</v>
      </c>
      <c r="X56">
        <f t="shared" si="26"/>
        <v>0.74285208725549412</v>
      </c>
      <c r="Y56">
        <f t="shared" si="27"/>
        <v>0.75031993097187488</v>
      </c>
      <c r="Z56">
        <f t="shared" si="28"/>
        <v>0.56732751813774884</v>
      </c>
      <c r="AA56">
        <f t="shared" si="29"/>
        <v>0.38669788849259423</v>
      </c>
      <c r="AB56">
        <f t="shared" si="30"/>
        <v>0.22255156711845653</v>
      </c>
      <c r="AC56" s="5">
        <v>116573.649660083</v>
      </c>
      <c r="AD56" s="5">
        <v>47761.145184048197</v>
      </c>
      <c r="AE56" s="5">
        <v>183192.36823657699</v>
      </c>
      <c r="AF56" s="5">
        <v>27429.652096939899</v>
      </c>
      <c r="AG56" s="5">
        <v>98398.720399839396</v>
      </c>
      <c r="AH56" s="5">
        <v>53882.067063349503</v>
      </c>
      <c r="AI56" s="5">
        <v>194019.59951674499</v>
      </c>
      <c r="AJ56" s="5">
        <v>123309.976298997</v>
      </c>
      <c r="AK56" s="5">
        <v>139165.34010847399</v>
      </c>
      <c r="AL56" s="5">
        <v>29604.774620801101</v>
      </c>
      <c r="AM56" s="5">
        <v>152637.784233201</v>
      </c>
      <c r="AN56" s="5">
        <v>180363.19598647801</v>
      </c>
      <c r="AO56" s="5">
        <v>44479.939223061199</v>
      </c>
      <c r="AP56" s="5">
        <v>105325.128146118</v>
      </c>
      <c r="AQ56" s="5">
        <v>98252.664497441001</v>
      </c>
      <c r="AR56" s="5">
        <v>82457.791299690507</v>
      </c>
      <c r="AS56" s="5">
        <v>58329.103269909901</v>
      </c>
      <c r="AT56" s="5">
        <v>547008.63210908906</v>
      </c>
      <c r="AU56" s="5">
        <v>118922.375745889</v>
      </c>
      <c r="AV56" s="5">
        <v>104971.626770036</v>
      </c>
      <c r="AW56" s="5">
        <v>96608.648605374605</v>
      </c>
      <c r="AX56" s="5">
        <v>249765.621349911</v>
      </c>
      <c r="AY56" s="5">
        <v>397796.93273216701</v>
      </c>
      <c r="AZ56" s="5">
        <v>26816.668969344701</v>
      </c>
      <c r="BA56" s="5">
        <v>164668.37941332199</v>
      </c>
      <c r="BB56" s="5">
        <v>113482.201117848</v>
      </c>
      <c r="BC56" s="5">
        <v>733076.13624263101</v>
      </c>
      <c r="BD56" s="5">
        <v>127800.72590667701</v>
      </c>
      <c r="BE56" s="5">
        <v>382212.809871556</v>
      </c>
      <c r="BF56" s="5">
        <v>155919.075187223</v>
      </c>
      <c r="BG56" s="5">
        <v>115467.664690441</v>
      </c>
      <c r="BH56" s="5">
        <v>55427.990957917304</v>
      </c>
      <c r="BI56" s="5">
        <v>117349.331732044</v>
      </c>
      <c r="BJ56" s="5">
        <v>70594.417448811393</v>
      </c>
      <c r="BK56" s="5">
        <v>140755.053038538</v>
      </c>
      <c r="BL56" s="5">
        <v>182225.719750508</v>
      </c>
      <c r="BM56" s="5">
        <v>397500.60634277703</v>
      </c>
      <c r="BN56" s="5">
        <v>50337.770582445599</v>
      </c>
      <c r="BO56" s="5">
        <v>137196.37803702499</v>
      </c>
      <c r="BP56" s="5">
        <v>72260.879093541604</v>
      </c>
      <c r="BQ56" s="5">
        <v>52630.798306665798</v>
      </c>
      <c r="BR56" s="5">
        <v>851795.89582234598</v>
      </c>
      <c r="BS56" s="5">
        <v>37957.347014190003</v>
      </c>
      <c r="BT56" s="5">
        <v>520764.77254854201</v>
      </c>
      <c r="BU56" s="5">
        <v>365003.438959099</v>
      </c>
      <c r="BV56" s="5">
        <v>4138888.1913451301</v>
      </c>
      <c r="BW56" s="5">
        <v>530212.01775775198</v>
      </c>
      <c r="BX56" s="5">
        <v>77522.367501854402</v>
      </c>
      <c r="BY56" s="5">
        <v>119708.696184635</v>
      </c>
      <c r="BZ56" s="5">
        <v>780645.68982866395</v>
      </c>
      <c r="CA56">
        <f t="shared" si="31"/>
        <v>-0.43330853951474702</v>
      </c>
      <c r="CB56">
        <f t="shared" si="32"/>
        <v>-0.18455504349503676</v>
      </c>
      <c r="CC56">
        <f t="shared" si="33"/>
        <v>1.2271126181365486</v>
      </c>
      <c r="CD56">
        <f t="shared" si="34"/>
        <v>1.7657719320412988</v>
      </c>
      <c r="CE56" s="7">
        <f t="shared" si="35"/>
        <v>0.12786100421272845</v>
      </c>
      <c r="CF56" s="7">
        <f t="shared" si="36"/>
        <v>0.34279602159425182</v>
      </c>
      <c r="CG56" s="7">
        <f t="shared" si="37"/>
        <v>0.75202199555233273</v>
      </c>
      <c r="CH56" s="7">
        <f t="shared" si="38"/>
        <v>0.31581148142173482</v>
      </c>
      <c r="CI56" s="5">
        <v>182252.42498360499</v>
      </c>
      <c r="CJ56" s="5">
        <v>136191.20058654601</v>
      </c>
      <c r="CK56" s="5">
        <v>173791.72071271599</v>
      </c>
      <c r="CL56" s="5">
        <v>144230.79430077301</v>
      </c>
      <c r="CM56" s="5">
        <v>197780.60729449999</v>
      </c>
      <c r="CN56" s="5">
        <v>203503.55855766</v>
      </c>
      <c r="CO56" s="5">
        <v>258641.87583865601</v>
      </c>
      <c r="CP56" s="5">
        <v>220904.810275091</v>
      </c>
      <c r="CQ56" s="5">
        <v>223992.54480693399</v>
      </c>
      <c r="CR56" s="5">
        <v>231947.104611093</v>
      </c>
      <c r="CS56" s="5">
        <v>208331.356021252</v>
      </c>
      <c r="CT56" s="5">
        <v>213272.87559614799</v>
      </c>
      <c r="CU56" s="5">
        <v>1237.81213952026</v>
      </c>
      <c r="CV56" s="5">
        <v>1387.5027314994099</v>
      </c>
      <c r="CW56" s="5">
        <v>1464.39443701764</v>
      </c>
      <c r="CX56" s="5">
        <v>892.32808752054802</v>
      </c>
      <c r="CY56" s="5">
        <v>986.12866761435703</v>
      </c>
      <c r="CZ56" s="6">
        <v>1320.0692260962001</v>
      </c>
    </row>
    <row r="57" spans="1:104" x14ac:dyDescent="0.2">
      <c r="A57">
        <v>399</v>
      </c>
      <c r="B57" s="5">
        <v>440</v>
      </c>
      <c r="C57" s="5" t="s">
        <v>64</v>
      </c>
      <c r="D57" s="5" t="s">
        <v>125</v>
      </c>
      <c r="E57" s="5" t="s">
        <v>126</v>
      </c>
      <c r="F57" s="5" t="s">
        <v>127</v>
      </c>
      <c r="G57" s="5" t="s">
        <v>127</v>
      </c>
      <c r="H57" s="5">
        <v>2</v>
      </c>
      <c r="I57" s="5" t="s">
        <v>128</v>
      </c>
      <c r="J57" s="5">
        <v>813.66873999999996</v>
      </c>
      <c r="K57" s="5">
        <v>813.66869999999994</v>
      </c>
      <c r="L57" s="5">
        <v>814.67601659999991</v>
      </c>
      <c r="M57" s="5">
        <v>6.8440000000000003</v>
      </c>
      <c r="N57" s="5">
        <v>6.8440000000000003</v>
      </c>
      <c r="O57" s="5">
        <v>1.5894101254064097</v>
      </c>
      <c r="P57" t="s">
        <v>76</v>
      </c>
      <c r="Q57" s="5">
        <v>4.306</v>
      </c>
      <c r="R57" s="5">
        <v>3</v>
      </c>
      <c r="S57" s="5" t="s">
        <v>70</v>
      </c>
      <c r="T57" s="5" t="s">
        <v>71</v>
      </c>
      <c r="U57">
        <f t="shared" si="23"/>
        <v>0.57944238991451924</v>
      </c>
      <c r="V57">
        <f t="shared" si="24"/>
        <v>0.51486315290195361</v>
      </c>
      <c r="W57">
        <f t="shared" si="25"/>
        <v>0.23786836175294696</v>
      </c>
      <c r="X57">
        <f t="shared" si="26"/>
        <v>-0.11023717072953744</v>
      </c>
      <c r="Y57">
        <f t="shared" si="27"/>
        <v>0.47995702210496272</v>
      </c>
      <c r="Z57">
        <f t="shared" si="28"/>
        <v>0.19888628368619923</v>
      </c>
      <c r="AA57">
        <f t="shared" si="29"/>
        <v>0.19720544935006135</v>
      </c>
      <c r="AB57">
        <f t="shared" si="30"/>
        <v>0.21625462464940895</v>
      </c>
      <c r="AC57" s="5">
        <v>80473.895824048901</v>
      </c>
      <c r="AD57" s="5">
        <v>91185.064532511606</v>
      </c>
      <c r="AE57" s="5">
        <v>77841.863467932504</v>
      </c>
      <c r="AF57" s="5">
        <v>132479.67353540601</v>
      </c>
      <c r="AG57" s="5">
        <v>51437.9896194139</v>
      </c>
      <c r="AH57" s="5">
        <v>51399.823486336798</v>
      </c>
      <c r="AI57" s="5">
        <v>120249.856450265</v>
      </c>
      <c r="AJ57" s="5">
        <v>51990.2879013981</v>
      </c>
      <c r="AK57" s="5">
        <v>163062.06141253599</v>
      </c>
      <c r="AL57" s="5">
        <v>146309.440434697</v>
      </c>
      <c r="AM57" s="5">
        <v>604099.36847370397</v>
      </c>
      <c r="AN57" s="5">
        <v>114985.81801690601</v>
      </c>
      <c r="AO57" s="5">
        <v>80321.110342390806</v>
      </c>
      <c r="AP57" s="5">
        <v>101083.645711754</v>
      </c>
      <c r="AQ57" s="5">
        <v>225487.20006034401</v>
      </c>
      <c r="AR57" s="5">
        <v>92105.258177439202</v>
      </c>
      <c r="AS57" s="5">
        <v>216258.022869871</v>
      </c>
      <c r="AT57" s="5">
        <v>88598.002881432694</v>
      </c>
      <c r="AU57" s="5">
        <v>135621.577936585</v>
      </c>
      <c r="AV57" s="5">
        <v>94898.760142995699</v>
      </c>
      <c r="AW57" s="5">
        <v>43601.744498294102</v>
      </c>
      <c r="AX57" s="5">
        <v>79481.442906199401</v>
      </c>
      <c r="AY57" s="5">
        <v>85809.109364530203</v>
      </c>
      <c r="AZ57" s="5">
        <v>41528.684696233497</v>
      </c>
      <c r="BA57" s="5">
        <v>74553.893927465397</v>
      </c>
      <c r="BB57" s="5">
        <v>62052.879581104396</v>
      </c>
      <c r="BC57" s="5">
        <v>88400.054922824798</v>
      </c>
      <c r="BD57" s="5">
        <v>69628.070843094305</v>
      </c>
      <c r="BE57" s="5">
        <v>76630.742147699406</v>
      </c>
      <c r="BF57" s="5">
        <v>34942.640653258597</v>
      </c>
      <c r="BG57" s="5">
        <v>48644.9195002005</v>
      </c>
      <c r="BH57" s="5">
        <v>36970.005132872699</v>
      </c>
      <c r="BI57" s="5">
        <v>61263.794421576</v>
      </c>
      <c r="BJ57" s="5">
        <v>37550.900570595499</v>
      </c>
      <c r="BK57" s="5">
        <v>38086.722602209702</v>
      </c>
      <c r="BL57" s="5">
        <v>75776.2508963726</v>
      </c>
      <c r="BM57" s="5">
        <v>101505.583181461</v>
      </c>
      <c r="BN57" s="5">
        <v>32661.110956632601</v>
      </c>
      <c r="BO57" s="5">
        <v>55681.474603143797</v>
      </c>
      <c r="BP57" s="5">
        <v>37596.608395866897</v>
      </c>
      <c r="BQ57" s="5">
        <v>53879.7587818108</v>
      </c>
      <c r="BR57" s="5">
        <v>78710.223323411701</v>
      </c>
      <c r="BS57" s="5">
        <v>116085.265248084</v>
      </c>
      <c r="BT57" s="5">
        <v>31311.5014921863</v>
      </c>
      <c r="BU57" s="5">
        <v>87936.879093688796</v>
      </c>
      <c r="BV57" s="5">
        <v>23767.4496999045</v>
      </c>
      <c r="BW57" s="5">
        <v>97253.064052353104</v>
      </c>
      <c r="BX57" s="5">
        <v>22538.001522470899</v>
      </c>
      <c r="BY57" s="5">
        <v>41420.343945501401</v>
      </c>
      <c r="BZ57" s="5">
        <v>39620.6361992085</v>
      </c>
      <c r="CA57">
        <f t="shared" si="31"/>
        <v>-0.87038090379049615</v>
      </c>
      <c r="CB57">
        <f t="shared" si="32"/>
        <v>-0.3224716334439312</v>
      </c>
      <c r="CC57">
        <f t="shared" si="33"/>
        <v>0.17688198140563108</v>
      </c>
      <c r="CD57">
        <f t="shared" si="34"/>
        <v>-0.813417005631483</v>
      </c>
      <c r="CE57" s="7">
        <f t="shared" si="35"/>
        <v>6.3280228774415165E-2</v>
      </c>
      <c r="CF57" s="7">
        <f t="shared" si="36"/>
        <v>0.72431164344677323</v>
      </c>
      <c r="CG57" s="7">
        <f t="shared" si="37"/>
        <v>0.68191312122979553</v>
      </c>
      <c r="CH57" s="7">
        <f t="shared" si="38"/>
        <v>0.226253849843598</v>
      </c>
      <c r="CI57" s="5">
        <v>47222.637457221797</v>
      </c>
      <c r="CJ57" s="5">
        <v>42597.993189889297</v>
      </c>
      <c r="CK57" s="5">
        <v>111088.695732792</v>
      </c>
      <c r="CL57" s="5">
        <v>102084.09270925001</v>
      </c>
      <c r="CM57" s="5">
        <v>87338.191938893695</v>
      </c>
      <c r="CN57" s="5">
        <v>92676.683314332899</v>
      </c>
      <c r="CO57" s="5">
        <v>92142.283397269493</v>
      </c>
      <c r="CP57" s="5">
        <v>91314.886200361303</v>
      </c>
      <c r="CQ57" s="5">
        <v>89080.148124256404</v>
      </c>
      <c r="CR57" s="5">
        <v>95773.744048248394</v>
      </c>
      <c r="CS57" s="5">
        <v>94153.231409407803</v>
      </c>
      <c r="CT57" s="5">
        <v>85990.507575916301</v>
      </c>
      <c r="CU57" s="5">
        <v>793.94987551658596</v>
      </c>
      <c r="CV57" s="5">
        <v>1732.1150707295101</v>
      </c>
      <c r="CW57" s="5">
        <v>1960.19094534381</v>
      </c>
      <c r="CX57" s="5">
        <v>660.48824875695402</v>
      </c>
      <c r="CY57" s="5">
        <v>1648.6209997754399</v>
      </c>
      <c r="CZ57" s="6">
        <v>1604.2088517709201</v>
      </c>
    </row>
    <row r="58" spans="1:104" x14ac:dyDescent="0.2">
      <c r="A58">
        <v>397</v>
      </c>
      <c r="B58" s="5">
        <v>438</v>
      </c>
      <c r="C58" s="5" t="s">
        <v>64</v>
      </c>
      <c r="D58" s="5" t="s">
        <v>129</v>
      </c>
      <c r="E58" s="5" t="s">
        <v>130</v>
      </c>
      <c r="F58" s="5" t="s">
        <v>131</v>
      </c>
      <c r="G58" s="5" t="s">
        <v>131</v>
      </c>
      <c r="H58" s="5">
        <v>2</v>
      </c>
      <c r="I58" s="5" t="s">
        <v>132</v>
      </c>
      <c r="J58" s="5">
        <v>827.68406000000004</v>
      </c>
      <c r="K58" s="5">
        <v>827.68409999999994</v>
      </c>
      <c r="L58" s="5">
        <v>828.6913366</v>
      </c>
      <c r="M58" s="5">
        <v>6.9779999999999998</v>
      </c>
      <c r="N58" s="5">
        <v>6.9779999999999998</v>
      </c>
      <c r="O58" s="5">
        <v>1.6205294937296795</v>
      </c>
      <c r="P58" t="s">
        <v>76</v>
      </c>
      <c r="Q58" s="5">
        <v>4.306</v>
      </c>
      <c r="R58" s="5">
        <v>6</v>
      </c>
      <c r="S58" s="5" t="s">
        <v>70</v>
      </c>
      <c r="T58" s="5" t="s">
        <v>71</v>
      </c>
      <c r="U58">
        <f t="shared" si="23"/>
        <v>0.97289695145476685</v>
      </c>
      <c r="V58">
        <f t="shared" si="24"/>
        <v>0.85631972997290673</v>
      </c>
      <c r="W58">
        <f t="shared" si="25"/>
        <v>0.24640702411489798</v>
      </c>
      <c r="X58">
        <f t="shared" si="26"/>
        <v>-0.51184909949837298</v>
      </c>
      <c r="Y58">
        <f t="shared" si="27"/>
        <v>0.37677238402922331</v>
      </c>
      <c r="Z58">
        <f t="shared" si="28"/>
        <v>0.24375704454171143</v>
      </c>
      <c r="AA58">
        <f t="shared" si="29"/>
        <v>0.29705042401765674</v>
      </c>
      <c r="AB58">
        <f t="shared" si="30"/>
        <v>0.17820181780103098</v>
      </c>
      <c r="AC58" s="5">
        <v>536978.58453012002</v>
      </c>
      <c r="AD58" s="5">
        <v>575717.73782471695</v>
      </c>
      <c r="AE58" s="5">
        <v>388586.52001096902</v>
      </c>
      <c r="AF58" s="5">
        <v>1076847.24119198</v>
      </c>
      <c r="AG58" s="5">
        <v>269449.838085683</v>
      </c>
      <c r="AH58" s="5">
        <v>241144.43285638801</v>
      </c>
      <c r="AI58" s="5">
        <v>1428476.41588062</v>
      </c>
      <c r="AJ58" s="5">
        <v>197992.48932538499</v>
      </c>
      <c r="AK58" s="5">
        <v>1319307.1838046301</v>
      </c>
      <c r="AL58" s="5">
        <v>1053969.71232902</v>
      </c>
      <c r="AM58" s="5">
        <v>5702095.9633845296</v>
      </c>
      <c r="AN58" s="5">
        <v>972153.60359971703</v>
      </c>
      <c r="AO58" s="5">
        <v>383979.09780227102</v>
      </c>
      <c r="AP58" s="5">
        <v>494637.73927447799</v>
      </c>
      <c r="AQ58" s="5">
        <v>1592717.54888449</v>
      </c>
      <c r="AR58" s="5">
        <v>535973.12031635805</v>
      </c>
      <c r="AS58" s="5">
        <v>1465021.4424308001</v>
      </c>
      <c r="AT58" s="5">
        <v>425018.717843102</v>
      </c>
      <c r="AU58" s="5">
        <v>1128191.07250156</v>
      </c>
      <c r="AV58" s="5">
        <v>636990.37649627402</v>
      </c>
      <c r="AW58" s="5">
        <v>212284.618626465</v>
      </c>
      <c r="AX58" s="5">
        <v>412410.34630509902</v>
      </c>
      <c r="AY58" s="5">
        <v>506652.23157170299</v>
      </c>
      <c r="AZ58" s="5">
        <v>244417.12621922899</v>
      </c>
      <c r="BA58" s="5">
        <v>376595.41961866798</v>
      </c>
      <c r="BB58" s="5">
        <v>375488.93360703997</v>
      </c>
      <c r="BC58" s="5">
        <v>637146.11470235197</v>
      </c>
      <c r="BD58" s="5">
        <v>419095.18632897799</v>
      </c>
      <c r="BE58" s="5">
        <v>457889.852689358</v>
      </c>
      <c r="BF58" s="5">
        <v>136350.44999742499</v>
      </c>
      <c r="BG58" s="5">
        <v>341871.31143538299</v>
      </c>
      <c r="BH58" s="5">
        <v>224090.72074021399</v>
      </c>
      <c r="BI58" s="5">
        <v>359859.54572272702</v>
      </c>
      <c r="BJ58" s="5">
        <v>221075.79991428301</v>
      </c>
      <c r="BK58" s="5">
        <v>317498.71049175703</v>
      </c>
      <c r="BL58" s="5">
        <v>566955.80443591694</v>
      </c>
      <c r="BM58" s="5">
        <v>830364.67542544403</v>
      </c>
      <c r="BN58" s="5">
        <v>166837.75030453401</v>
      </c>
      <c r="BO58" s="5">
        <v>388862.34950423299</v>
      </c>
      <c r="BP58" s="5">
        <v>211795.32932154601</v>
      </c>
      <c r="BQ58" s="5">
        <v>330075.518406738</v>
      </c>
      <c r="BR58" s="5">
        <v>589373.65181512001</v>
      </c>
      <c r="BS58" s="5">
        <v>1008485.93891486</v>
      </c>
      <c r="BT58" s="5">
        <v>127189.31944683701</v>
      </c>
      <c r="BU58" s="5">
        <v>518388.02734798897</v>
      </c>
      <c r="BV58" s="5">
        <v>137438.15168160599</v>
      </c>
      <c r="BW58" s="5">
        <v>759970.02824925794</v>
      </c>
      <c r="BX58" s="5">
        <v>103386.461197743</v>
      </c>
      <c r="BY58" s="5">
        <v>255930.349162097</v>
      </c>
      <c r="BZ58" s="5">
        <v>223473.13242273001</v>
      </c>
      <c r="CA58">
        <f t="shared" si="31"/>
        <v>-0.40052721851340367</v>
      </c>
      <c r="CB58">
        <f t="shared" si="32"/>
        <v>-0.10801839428999142</v>
      </c>
      <c r="CC58">
        <f t="shared" si="33"/>
        <v>0.30675444726581752</v>
      </c>
      <c r="CD58">
        <f t="shared" si="34"/>
        <v>-0.90717656049548057</v>
      </c>
      <c r="CE58" s="7">
        <f t="shared" si="35"/>
        <v>0.22698399455004162</v>
      </c>
      <c r="CF58" s="7">
        <f t="shared" si="36"/>
        <v>0.85408912857073682</v>
      </c>
      <c r="CG58" s="7">
        <f t="shared" si="37"/>
        <v>0.53246978805630285</v>
      </c>
      <c r="CH58" s="7">
        <f t="shared" si="38"/>
        <v>0.46996479405018976</v>
      </c>
      <c r="CI58" s="5">
        <v>351423.18405229802</v>
      </c>
      <c r="CJ58" s="5">
        <v>378466.98949720798</v>
      </c>
      <c r="CK58" s="5">
        <v>583713.75928612705</v>
      </c>
      <c r="CL58" s="5">
        <v>559031.79979034001</v>
      </c>
      <c r="CM58" s="5">
        <v>600489.77402132598</v>
      </c>
      <c r="CN58" s="5">
        <v>600662.79698966199</v>
      </c>
      <c r="CO58" s="5">
        <v>627626.76440201094</v>
      </c>
      <c r="CP58" s="5">
        <v>582547.28776463203</v>
      </c>
      <c r="CQ58" s="5">
        <v>614991.571350532</v>
      </c>
      <c r="CR58" s="5">
        <v>620558.05260746297</v>
      </c>
      <c r="CS58" s="5">
        <v>604009.93689704</v>
      </c>
      <c r="CT58" s="5">
        <v>597579.03494448797</v>
      </c>
      <c r="CU58" s="5">
        <v>1272.6487927865001</v>
      </c>
      <c r="CV58" s="5">
        <v>1248.45934874414</v>
      </c>
      <c r="CW58" s="5">
        <v>1357.3803823231101</v>
      </c>
      <c r="CX58" s="5">
        <v>1188.15452108524</v>
      </c>
      <c r="CY58" s="5">
        <v>1195.4033847273399</v>
      </c>
      <c r="CZ58" s="6">
        <v>1420.70271757508</v>
      </c>
    </row>
    <row r="59" spans="1:104" x14ac:dyDescent="0.2">
      <c r="A59">
        <v>396</v>
      </c>
      <c r="B59" s="5">
        <v>437</v>
      </c>
      <c r="C59" s="5" t="s">
        <v>64</v>
      </c>
      <c r="D59" s="5" t="s">
        <v>133</v>
      </c>
      <c r="E59" s="5" t="s">
        <v>134</v>
      </c>
      <c r="F59" s="5" t="s">
        <v>135</v>
      </c>
      <c r="G59" s="5" t="s">
        <v>135</v>
      </c>
      <c r="H59" s="5">
        <v>2</v>
      </c>
      <c r="I59" s="5" t="s">
        <v>136</v>
      </c>
      <c r="J59" s="5">
        <v>825.66832999999997</v>
      </c>
      <c r="K59" s="5">
        <v>825.66830000000004</v>
      </c>
      <c r="L59" s="5">
        <v>826.67560659999992</v>
      </c>
      <c r="M59" s="5">
        <v>6.6559999999999997</v>
      </c>
      <c r="N59" s="5">
        <v>6.6559999999999997</v>
      </c>
      <c r="O59" s="5">
        <v>1.5457501161170459</v>
      </c>
      <c r="P59" t="s">
        <v>76</v>
      </c>
      <c r="Q59" s="5">
        <v>4.306</v>
      </c>
      <c r="R59" s="5">
        <v>3</v>
      </c>
      <c r="S59" s="5" t="s">
        <v>70</v>
      </c>
      <c r="T59" s="5" t="s">
        <v>71</v>
      </c>
      <c r="U59">
        <f t="shared" si="23"/>
        <v>0.75441617394943739</v>
      </c>
      <c r="V59">
        <f t="shared" si="24"/>
        <v>1.0643510661738251</v>
      </c>
      <c r="W59">
        <f t="shared" si="25"/>
        <v>5.6123536030086414E-2</v>
      </c>
      <c r="X59">
        <f t="shared" si="26"/>
        <v>-0.54164765240603507</v>
      </c>
      <c r="Y59">
        <f t="shared" si="27"/>
        <v>0.49860599241063164</v>
      </c>
      <c r="Z59">
        <f t="shared" si="28"/>
        <v>0.20070843006025441</v>
      </c>
      <c r="AA59">
        <f t="shared" si="29"/>
        <v>0.37616820853861643</v>
      </c>
      <c r="AB59">
        <f t="shared" si="30"/>
        <v>0.16112132898512924</v>
      </c>
      <c r="AC59" s="5">
        <v>80778.3902943906</v>
      </c>
      <c r="AD59" s="5">
        <v>76121.706350168301</v>
      </c>
      <c r="AE59" s="5">
        <v>51280.273576447202</v>
      </c>
      <c r="AF59" s="5">
        <v>192326.588625912</v>
      </c>
      <c r="AG59" s="5">
        <v>36132.196569162697</v>
      </c>
      <c r="AH59" s="5">
        <v>26821.8460770151</v>
      </c>
      <c r="AI59" s="5">
        <v>264429.58082960098</v>
      </c>
      <c r="AJ59" s="5">
        <v>22648.780861091898</v>
      </c>
      <c r="AK59" s="5">
        <v>185775.288643532</v>
      </c>
      <c r="AL59" s="5">
        <v>128413.419970669</v>
      </c>
      <c r="AM59" s="5">
        <v>908827.95848023903</v>
      </c>
      <c r="AN59" s="5">
        <v>159187.92131617299</v>
      </c>
      <c r="AO59" s="5">
        <v>45590.147092887302</v>
      </c>
      <c r="AP59" s="5">
        <v>65081.766498209698</v>
      </c>
      <c r="AQ59" s="5">
        <v>396923.619273316</v>
      </c>
      <c r="AR59" s="5">
        <v>57903.949550959704</v>
      </c>
      <c r="AS59" s="5">
        <v>335523.65917636798</v>
      </c>
      <c r="AT59" s="5">
        <v>70887.076170203902</v>
      </c>
      <c r="AU59" s="5">
        <v>169127.955385726</v>
      </c>
      <c r="AV59" s="5">
        <v>79141.336967871102</v>
      </c>
      <c r="AW59" s="5">
        <v>24427.4486931879</v>
      </c>
      <c r="AX59" s="5">
        <v>52294.537266058702</v>
      </c>
      <c r="AY59" s="5">
        <v>58288.383464250597</v>
      </c>
      <c r="AZ59" s="5">
        <v>30570.831380192401</v>
      </c>
      <c r="BA59" s="5">
        <v>52526.728871486703</v>
      </c>
      <c r="BB59" s="5">
        <v>45704.8370495032</v>
      </c>
      <c r="BC59" s="5">
        <v>71272.389991350297</v>
      </c>
      <c r="BD59" s="5">
        <v>49754.518348955899</v>
      </c>
      <c r="BE59" s="5">
        <v>54517.898862864597</v>
      </c>
      <c r="BF59" s="5">
        <v>14941.4550511128</v>
      </c>
      <c r="BG59" s="5">
        <v>39897.035138465901</v>
      </c>
      <c r="BH59" s="5">
        <v>21278.220441126101</v>
      </c>
      <c r="BI59" s="5">
        <v>39483.094434766703</v>
      </c>
      <c r="BJ59" s="5">
        <v>22132.644098324199</v>
      </c>
      <c r="BK59" s="5">
        <v>34520.665160905402</v>
      </c>
      <c r="BL59" s="5">
        <v>65668.166730589495</v>
      </c>
      <c r="BM59" s="5">
        <v>132023.93482223799</v>
      </c>
      <c r="BN59" s="5">
        <v>18111.708331342401</v>
      </c>
      <c r="BO59" s="5">
        <v>53612.292769647502</v>
      </c>
      <c r="BP59" s="5">
        <v>23172.012979120002</v>
      </c>
      <c r="BQ59" s="5">
        <v>39045.108975426003</v>
      </c>
      <c r="BR59" s="5">
        <v>74020.460505563795</v>
      </c>
      <c r="BS59" s="5">
        <v>133102.817462031</v>
      </c>
      <c r="BT59" s="5">
        <v>14822.963617735501</v>
      </c>
      <c r="BU59" s="5">
        <v>53294.626527532098</v>
      </c>
      <c r="BV59" s="5">
        <v>14724.919345039199</v>
      </c>
      <c r="BW59" s="5">
        <v>79098.098828287606</v>
      </c>
      <c r="BX59" s="5">
        <v>10041.8314025891</v>
      </c>
      <c r="BY59" s="5">
        <v>30570.698027414801</v>
      </c>
      <c r="BZ59" s="5">
        <v>21273.7698065767</v>
      </c>
      <c r="CA59">
        <f t="shared" si="31"/>
        <v>-0.52736728350302631</v>
      </c>
      <c r="CB59">
        <f t="shared" si="32"/>
        <v>0.10773628751336174</v>
      </c>
      <c r="CC59">
        <f t="shared" si="33"/>
        <v>9.9162532624521446E-2</v>
      </c>
      <c r="CD59">
        <f t="shared" si="34"/>
        <v>-1.2257518389079454</v>
      </c>
      <c r="CE59" s="7">
        <f t="shared" si="35"/>
        <v>0.15493037323973308</v>
      </c>
      <c r="CF59" s="7">
        <f t="shared" si="36"/>
        <v>0.62827809910581056</v>
      </c>
      <c r="CG59" s="7">
        <f t="shared" si="37"/>
        <v>0.49848694802148374</v>
      </c>
      <c r="CH59" s="7">
        <f t="shared" si="38"/>
        <v>0.32892419845977849</v>
      </c>
      <c r="CI59" s="5">
        <v>49697.556599443298</v>
      </c>
      <c r="CJ59" s="5">
        <v>44702.221096352398</v>
      </c>
      <c r="CK59" s="5">
        <v>68105.862655662393</v>
      </c>
      <c r="CL59" s="5">
        <v>69834.069789505505</v>
      </c>
      <c r="CM59" s="5">
        <v>87836.874176246303</v>
      </c>
      <c r="CN59" s="5">
        <v>87224.109891606</v>
      </c>
      <c r="CO59" s="5">
        <v>87652.078803950906</v>
      </c>
      <c r="CP59" s="5">
        <v>76529.626348878795</v>
      </c>
      <c r="CQ59" s="5">
        <v>94611.818587368907</v>
      </c>
      <c r="CR59" s="5">
        <v>75977.321992318597</v>
      </c>
      <c r="CS59" s="5">
        <v>89230.421156221506</v>
      </c>
      <c r="CT59" s="5">
        <v>88447.704730693906</v>
      </c>
      <c r="CU59" s="5">
        <v>726.46123305710296</v>
      </c>
      <c r="CV59" s="5">
        <v>1250.0659725646201</v>
      </c>
      <c r="CW59" s="5">
        <v>1259.15833681403</v>
      </c>
      <c r="CX59" s="5">
        <v>695.97046102853994</v>
      </c>
      <c r="CY59" s="5">
        <v>1189.12428653655</v>
      </c>
      <c r="CZ59" s="6">
        <v>1151.7390441596201</v>
      </c>
    </row>
    <row r="60" spans="1:104" x14ac:dyDescent="0.2">
      <c r="A60">
        <v>456</v>
      </c>
      <c r="B60" s="5">
        <v>436</v>
      </c>
      <c r="C60" s="5" t="s">
        <v>64</v>
      </c>
      <c r="D60" s="5"/>
      <c r="E60" s="5" t="s">
        <v>137</v>
      </c>
      <c r="F60" s="5" t="s">
        <v>137</v>
      </c>
      <c r="G60" s="5" t="s">
        <v>137</v>
      </c>
      <c r="H60" s="5">
        <v>2</v>
      </c>
      <c r="I60" s="5" t="s">
        <v>136</v>
      </c>
      <c r="J60" s="5">
        <v>825.66863000000001</v>
      </c>
      <c r="K60" s="5">
        <v>825.66859999999997</v>
      </c>
      <c r="L60" s="5">
        <v>826.67590659999996</v>
      </c>
      <c r="M60" s="5">
        <v>6.7640000000000002</v>
      </c>
      <c r="N60" s="5">
        <v>6.7640000000000002</v>
      </c>
      <c r="O60" s="5">
        <v>1.5708313980492337</v>
      </c>
      <c r="P60" t="s">
        <v>76</v>
      </c>
      <c r="Q60" s="5">
        <v>4.306</v>
      </c>
      <c r="R60" s="5">
        <v>3</v>
      </c>
      <c r="S60" s="5" t="s">
        <v>70</v>
      </c>
      <c r="T60" s="5" t="s">
        <v>71</v>
      </c>
      <c r="U60">
        <f t="shared" si="23"/>
        <v>0.63420977187978445</v>
      </c>
      <c r="V60">
        <f t="shared" si="24"/>
        <v>0.77731426416429561</v>
      </c>
      <c r="W60">
        <f t="shared" si="25"/>
        <v>0.4670805408230162</v>
      </c>
      <c r="X60">
        <f t="shared" si="26"/>
        <v>0.70533278915455455</v>
      </c>
      <c r="Y60">
        <f t="shared" si="27"/>
        <v>0.72881925666746772</v>
      </c>
      <c r="Z60">
        <f t="shared" si="28"/>
        <v>0.25810730358416889</v>
      </c>
      <c r="AA60">
        <f t="shared" si="29"/>
        <v>0.35408907099993292</v>
      </c>
      <c r="AB60">
        <f t="shared" si="30"/>
        <v>0.4302546706787781</v>
      </c>
      <c r="AC60" s="5">
        <v>29525.369830377302</v>
      </c>
      <c r="AD60" s="5">
        <v>9327.5649614302092</v>
      </c>
      <c r="AE60" s="5">
        <v>51349.342890267697</v>
      </c>
      <c r="AF60" s="5">
        <v>10085.391251892501</v>
      </c>
      <c r="AG60" s="5">
        <v>20846.943087289499</v>
      </c>
      <c r="AH60" s="5">
        <v>15501.191299108499</v>
      </c>
      <c r="AI60" s="5">
        <v>43981.020583083497</v>
      </c>
      <c r="AJ60" s="5">
        <v>32356.277068322299</v>
      </c>
      <c r="AK60" s="5">
        <v>32723.0929497289</v>
      </c>
      <c r="AL60" s="5">
        <v>13841.036257502599</v>
      </c>
      <c r="AM60" s="5">
        <v>35730.351640546003</v>
      </c>
      <c r="AN60" s="5">
        <v>49624.110184780599</v>
      </c>
      <c r="AO60" s="5">
        <v>18307.871110890999</v>
      </c>
      <c r="AP60" s="5">
        <v>40807.554902772499</v>
      </c>
      <c r="AQ60" s="5">
        <v>33209.690648543597</v>
      </c>
      <c r="AR60" s="5">
        <v>32628.039878638101</v>
      </c>
      <c r="AS60" s="5">
        <v>19849.439182700698</v>
      </c>
      <c r="AT60" s="5">
        <v>66536.530060010205</v>
      </c>
      <c r="AU60" s="5">
        <v>28816.924850231298</v>
      </c>
      <c r="AV60" s="5">
        <v>28385.748994374098</v>
      </c>
      <c r="AW60" s="5">
        <v>23924.189070049899</v>
      </c>
      <c r="AX60" s="5">
        <v>33991.373000357802</v>
      </c>
      <c r="AY60" s="5">
        <v>48998.353116122402</v>
      </c>
      <c r="AZ60" s="5">
        <v>14707.4518513399</v>
      </c>
      <c r="BA60" s="5">
        <v>40219.349980718798</v>
      </c>
      <c r="BB60" s="5">
        <v>40786.328654183097</v>
      </c>
      <c r="BC60" s="5">
        <v>136982.27894084199</v>
      </c>
      <c r="BD60" s="5">
        <v>54679.590240086603</v>
      </c>
      <c r="BE60" s="5">
        <v>67026.328924178102</v>
      </c>
      <c r="BF60" s="5">
        <v>33647.550946847601</v>
      </c>
      <c r="BG60" s="5">
        <v>22916.8710000971</v>
      </c>
      <c r="BH60" s="5">
        <v>11037.194412388</v>
      </c>
      <c r="BI60" s="5">
        <v>37471.583628305299</v>
      </c>
      <c r="BJ60" s="5">
        <v>14613.2275086145</v>
      </c>
      <c r="BK60" s="5">
        <v>24229.198520142501</v>
      </c>
      <c r="BL60" s="5">
        <v>33332.157061614402</v>
      </c>
      <c r="BM60" s="5">
        <v>60533.483981727499</v>
      </c>
      <c r="BN60" s="5">
        <v>14868.5556458556</v>
      </c>
      <c r="BO60" s="5">
        <v>30032.044796291299</v>
      </c>
      <c r="BP60" s="5">
        <v>13585.9063658252</v>
      </c>
      <c r="BQ60" s="5">
        <v>20952.937380729702</v>
      </c>
      <c r="BR60" s="5">
        <v>86159.624736791899</v>
      </c>
      <c r="BS60" s="5">
        <v>18933.6331045388</v>
      </c>
      <c r="BT60" s="5">
        <v>68298.944196313299</v>
      </c>
      <c r="BU60" s="5">
        <v>44882.671873782303</v>
      </c>
      <c r="BV60" s="5">
        <v>326807.400888114</v>
      </c>
      <c r="BW60" s="5">
        <v>69156.547922499405</v>
      </c>
      <c r="BX60" s="5">
        <v>28988.081315171701</v>
      </c>
      <c r="BY60" s="5">
        <v>37439.5255536861</v>
      </c>
      <c r="BZ60" s="5">
        <v>138682.60298693401</v>
      </c>
      <c r="CA60">
        <f t="shared" si="31"/>
        <v>-1.2545923553177447</v>
      </c>
      <c r="CB60">
        <f t="shared" si="32"/>
        <v>-0.86449972443296486</v>
      </c>
      <c r="CC60">
        <f t="shared" si="33"/>
        <v>-0.28484386925706284</v>
      </c>
      <c r="CD60">
        <f t="shared" si="34"/>
        <v>0.33886342431211081</v>
      </c>
      <c r="CE60" s="7">
        <f t="shared" si="35"/>
        <v>4.7559323962486869E-2</v>
      </c>
      <c r="CF60" s="7">
        <f t="shared" si="36"/>
        <v>0.11365467721865534</v>
      </c>
      <c r="CG60" s="7">
        <f t="shared" si="37"/>
        <v>0.43199625950922838</v>
      </c>
      <c r="CH60" s="7">
        <f t="shared" si="38"/>
        <v>0.38376787094600107</v>
      </c>
      <c r="CI60" s="5">
        <v>26358.4744965428</v>
      </c>
      <c r="CJ60" s="5">
        <v>20870.793526681999</v>
      </c>
      <c r="CK60" s="5">
        <v>51613.411911706702</v>
      </c>
      <c r="CL60" s="5">
        <v>41605.558748833399</v>
      </c>
      <c r="CM60" s="5">
        <v>51440.401671881104</v>
      </c>
      <c r="CN60" s="5">
        <v>43783.302582149801</v>
      </c>
      <c r="CO60" s="5">
        <v>38576.1787679841</v>
      </c>
      <c r="CP60" s="5">
        <v>52603.110264477502</v>
      </c>
      <c r="CQ60" s="5">
        <v>46327.537767897797</v>
      </c>
      <c r="CR60" s="5">
        <v>40050.922942190598</v>
      </c>
      <c r="CS60" s="5">
        <v>47919.696812918402</v>
      </c>
      <c r="CT60" s="5">
        <v>47492.048762501698</v>
      </c>
      <c r="CU60" s="5">
        <v>713.99908443914603</v>
      </c>
      <c r="CV60" s="5">
        <v>729.90962228803801</v>
      </c>
      <c r="CW60" s="5">
        <v>1074.01675482417</v>
      </c>
      <c r="CX60" s="5">
        <v>513.97985682986405</v>
      </c>
      <c r="CY60" s="5">
        <v>583.49727957421703</v>
      </c>
      <c r="CZ60" s="6">
        <v>985.53158880196997</v>
      </c>
    </row>
    <row r="61" spans="1:104" x14ac:dyDescent="0.2">
      <c r="A61">
        <v>395</v>
      </c>
      <c r="B61" s="5">
        <v>435</v>
      </c>
      <c r="C61" s="5" t="s">
        <v>64</v>
      </c>
      <c r="D61" s="5" t="s">
        <v>138</v>
      </c>
      <c r="E61" s="5" t="s">
        <v>139</v>
      </c>
      <c r="F61" s="5" t="s">
        <v>140</v>
      </c>
      <c r="G61" s="5" t="s">
        <v>140</v>
      </c>
      <c r="H61" s="5">
        <v>2</v>
      </c>
      <c r="I61" s="5" t="s">
        <v>141</v>
      </c>
      <c r="J61" s="5">
        <v>841.69368999999995</v>
      </c>
      <c r="K61" s="5">
        <v>841.69370000000004</v>
      </c>
      <c r="L61" s="5">
        <v>842.7009665999999</v>
      </c>
      <c r="M61" s="5">
        <v>7.1779999999999999</v>
      </c>
      <c r="N61" s="5">
        <v>7.1779999999999999</v>
      </c>
      <c r="O61" s="5">
        <v>1.6669763121226195</v>
      </c>
      <c r="P61" t="s">
        <v>76</v>
      </c>
      <c r="Q61" s="5">
        <v>4.306</v>
      </c>
      <c r="R61" s="5">
        <v>1</v>
      </c>
      <c r="S61" s="5" t="s">
        <v>70</v>
      </c>
      <c r="T61" s="5" t="s">
        <v>71</v>
      </c>
      <c r="U61">
        <f t="shared" si="23"/>
        <v>0.23053371815732693</v>
      </c>
      <c r="V61">
        <f t="shared" si="24"/>
        <v>0.41886894746279174</v>
      </c>
      <c r="W61">
        <f t="shared" si="25"/>
        <v>0.27121072155947251</v>
      </c>
      <c r="X61">
        <f t="shared" si="26"/>
        <v>0.44874721854529537</v>
      </c>
      <c r="Y61">
        <f t="shared" si="27"/>
        <v>0.30406815998341313</v>
      </c>
      <c r="Z61">
        <f t="shared" si="28"/>
        <v>0.39766874030770294</v>
      </c>
      <c r="AA61">
        <f t="shared" si="29"/>
        <v>0.86614376039797802</v>
      </c>
      <c r="AB61">
        <f t="shared" si="30"/>
        <v>0.12860964461146199</v>
      </c>
      <c r="AC61" s="5">
        <v>73930.146257412402</v>
      </c>
      <c r="AD61" s="5">
        <v>99056.063819812101</v>
      </c>
      <c r="AE61" s="5">
        <v>113182.408334665</v>
      </c>
      <c r="AF61" s="5">
        <v>140042.44996325599</v>
      </c>
      <c r="AG61" s="5">
        <v>96643.8427396591</v>
      </c>
      <c r="AH61" s="5">
        <v>127764.746993822</v>
      </c>
      <c r="AI61" s="5">
        <v>101946.07336439801</v>
      </c>
      <c r="AJ61" s="5">
        <v>116219.400442857</v>
      </c>
      <c r="AK61" s="5">
        <v>218511.20695749801</v>
      </c>
      <c r="AL61" s="5">
        <v>95050.342746575901</v>
      </c>
      <c r="AM61" s="5">
        <v>132425.97645048099</v>
      </c>
      <c r="AN61" s="5">
        <v>80355.331231450094</v>
      </c>
      <c r="AO61" s="5">
        <v>92074.188466223306</v>
      </c>
      <c r="AP61" s="5">
        <v>133826.62746350499</v>
      </c>
      <c r="AQ61" s="5">
        <v>172173.57288524101</v>
      </c>
      <c r="AR61" s="5">
        <v>126742.770055407</v>
      </c>
      <c r="AS61" s="5">
        <v>98043.898366063295</v>
      </c>
      <c r="AT61" s="5">
        <v>35094.922834171302</v>
      </c>
      <c r="AU61" s="5">
        <v>119542.85640026</v>
      </c>
      <c r="AV61" s="5">
        <v>125667.450787162</v>
      </c>
      <c r="AW61" s="5">
        <v>135197.11983353901</v>
      </c>
      <c r="AX61" s="5">
        <v>122764.538762162</v>
      </c>
      <c r="AY61" s="5">
        <v>87113.820121171695</v>
      </c>
      <c r="AZ61" s="5">
        <v>162628.40457291799</v>
      </c>
      <c r="BA61" s="5">
        <v>194327.04594060199</v>
      </c>
      <c r="BB61" s="5">
        <v>188402.89402306001</v>
      </c>
      <c r="BC61" s="5">
        <v>126071.364194397</v>
      </c>
      <c r="BD61" s="5">
        <v>141894.77082256801</v>
      </c>
      <c r="BE61" s="5">
        <v>95596.563294942302</v>
      </c>
      <c r="BF61" s="5">
        <v>88782.543295334093</v>
      </c>
      <c r="BG61" s="5">
        <v>92834.506410426504</v>
      </c>
      <c r="BH61" s="5">
        <v>122122.575012293</v>
      </c>
      <c r="BI61" s="5">
        <v>74586.890765492193</v>
      </c>
      <c r="BJ61" s="5">
        <v>98527.910587276303</v>
      </c>
      <c r="BK61" s="5">
        <v>90616.826344955902</v>
      </c>
      <c r="BL61" s="5">
        <v>100191.522739241</v>
      </c>
      <c r="BM61" s="5">
        <v>114754.92132166</v>
      </c>
      <c r="BN61" s="5">
        <v>72130.556642739495</v>
      </c>
      <c r="BO61" s="5">
        <v>89761.229756358603</v>
      </c>
      <c r="BP61" s="5">
        <v>90333.006997721503</v>
      </c>
      <c r="BQ61" s="5">
        <v>145440.06601861399</v>
      </c>
      <c r="BR61" s="5">
        <v>117789.077560145</v>
      </c>
      <c r="BS61" s="5">
        <v>68374.242149199199</v>
      </c>
      <c r="BT61" s="5">
        <v>86700.750571158904</v>
      </c>
      <c r="BU61" s="5">
        <v>102337.265598684</v>
      </c>
      <c r="BV61" s="5">
        <v>117567.257870924</v>
      </c>
      <c r="BW61" s="5">
        <v>182134.298016102</v>
      </c>
      <c r="BX61" s="5">
        <v>129118.35906593299</v>
      </c>
      <c r="BY61" s="5">
        <v>147163.896722612</v>
      </c>
      <c r="BZ61" s="5">
        <v>317200.79230871901</v>
      </c>
      <c r="CA61">
        <f t="shared" si="31"/>
        <v>-0.44150756246029904</v>
      </c>
      <c r="CB61">
        <f t="shared" si="32"/>
        <v>-0.48091548061936967</v>
      </c>
      <c r="CC61">
        <f t="shared" si="33"/>
        <v>-0.30090902875428827</v>
      </c>
      <c r="CD61">
        <f t="shared" si="34"/>
        <v>0.22318316312594935</v>
      </c>
      <c r="CE61" s="7">
        <f t="shared" si="35"/>
        <v>0.13537168219491638</v>
      </c>
      <c r="CF61" s="7">
        <f t="shared" si="36"/>
        <v>0.1089677015178508</v>
      </c>
      <c r="CG61" s="7">
        <f t="shared" si="37"/>
        <v>0.31202552959683666</v>
      </c>
      <c r="CH61" s="7">
        <f t="shared" si="38"/>
        <v>0.24788905966876976</v>
      </c>
      <c r="CI61" s="5">
        <v>88299.353214583505</v>
      </c>
      <c r="CJ61" s="5">
        <v>120515.781748774</v>
      </c>
      <c r="CK61" s="5">
        <v>68238.156149826493</v>
      </c>
      <c r="CL61" s="5">
        <v>88768.3959465808</v>
      </c>
      <c r="CM61" s="5">
        <v>127947.58497565601</v>
      </c>
      <c r="CN61" s="5">
        <v>116424.22170794501</v>
      </c>
      <c r="CO61" s="5">
        <v>118271.050762144</v>
      </c>
      <c r="CP61" s="5">
        <v>107225.032159814</v>
      </c>
      <c r="CQ61" s="5">
        <v>100454.83196208801</v>
      </c>
      <c r="CR61" s="5">
        <v>110395.73094829101</v>
      </c>
      <c r="CS61" s="5">
        <v>113204.284870309</v>
      </c>
      <c r="CT61" s="5">
        <v>146235.011628407</v>
      </c>
      <c r="CU61" s="5">
        <v>170.35850874124401</v>
      </c>
      <c r="CV61" s="5">
        <v>176.01003495611599</v>
      </c>
      <c r="CW61" s="5">
        <v>248.82735337702701</v>
      </c>
      <c r="CX61" s="5">
        <v>343.76802399213</v>
      </c>
      <c r="CY61" s="5">
        <v>417.50971662379601</v>
      </c>
      <c r="CZ61" s="6">
        <v>625.34518605347796</v>
      </c>
    </row>
    <row r="63" spans="1:104" x14ac:dyDescent="0.2">
      <c r="A63">
        <v>4874</v>
      </c>
      <c r="B63" s="5">
        <v>5590</v>
      </c>
      <c r="C63" s="5" t="s">
        <v>64</v>
      </c>
      <c r="D63" s="5"/>
      <c r="E63" s="5" t="s">
        <v>117</v>
      </c>
      <c r="F63" s="5" t="s">
        <v>117</v>
      </c>
      <c r="G63" s="5" t="s">
        <v>117</v>
      </c>
      <c r="H63" s="5">
        <v>3</v>
      </c>
      <c r="I63" s="5" t="s">
        <v>118</v>
      </c>
      <c r="J63" s="5">
        <v>783.65809999999999</v>
      </c>
      <c r="K63" s="5">
        <v>783.65809999999999</v>
      </c>
      <c r="L63" s="5">
        <v>784.66537659999995</v>
      </c>
      <c r="M63" s="5">
        <v>6.7779999999999996</v>
      </c>
      <c r="N63" s="5">
        <v>6.7779999999999996</v>
      </c>
      <c r="O63" s="5"/>
      <c r="P63" s="5"/>
      <c r="Q63" s="5"/>
      <c r="R63" s="5">
        <v>1</v>
      </c>
      <c r="S63" s="5" t="s">
        <v>70</v>
      </c>
      <c r="T63" s="5" t="s">
        <v>71</v>
      </c>
      <c r="AC63">
        <f>(AC54/$AC2)*0.059213</f>
        <v>2.3549587498811777E-2</v>
      </c>
      <c r="AD63">
        <f t="shared" ref="AC63:BH63" si="39">(AD54/$AC2)*0.059213</f>
        <v>9.3147848776273575E-3</v>
      </c>
      <c r="AE63">
        <f t="shared" si="39"/>
        <v>4.4295747553109305E-2</v>
      </c>
      <c r="AF63">
        <f t="shared" si="39"/>
        <v>4.8298602683709696E-3</v>
      </c>
      <c r="AG63">
        <f t="shared" si="39"/>
        <v>1.6989835158907785E-2</v>
      </c>
      <c r="AH63">
        <f t="shared" si="39"/>
        <v>1.2140963878858413E-2</v>
      </c>
      <c r="AI63">
        <f t="shared" si="39"/>
        <v>5.0165896365147934E-2</v>
      </c>
      <c r="AJ63">
        <f t="shared" si="39"/>
        <v>2.3767373891518669E-2</v>
      </c>
      <c r="AK63">
        <f t="shared" si="39"/>
        <v>2.9205190160138911E-2</v>
      </c>
      <c r="AL63">
        <f t="shared" si="39"/>
        <v>6.7915125445835835E-3</v>
      </c>
      <c r="AM63">
        <f t="shared" si="39"/>
        <v>3.3497306182511857E-2</v>
      </c>
      <c r="AN63">
        <f t="shared" si="39"/>
        <v>3.7633735400134746E-2</v>
      </c>
      <c r="AO63">
        <f t="shared" si="39"/>
        <v>9.3663742825004226E-3</v>
      </c>
      <c r="AP63">
        <f t="shared" si="39"/>
        <v>1.9939580534634401E-2</v>
      </c>
      <c r="AQ63">
        <f t="shared" si="39"/>
        <v>1.8890510166620657E-2</v>
      </c>
      <c r="AR63">
        <f t="shared" si="39"/>
        <v>2.4863353150084495E-2</v>
      </c>
      <c r="AS63">
        <f t="shared" si="39"/>
        <v>1.1827436648257953E-2</v>
      </c>
      <c r="AT63">
        <f t="shared" si="39"/>
        <v>8.6781053189118607E-2</v>
      </c>
      <c r="AU63">
        <f t="shared" si="39"/>
        <v>2.0885441428358766E-2</v>
      </c>
      <c r="AV63">
        <f t="shared" si="39"/>
        <v>1.982263989051293E-2</v>
      </c>
      <c r="AW63">
        <f t="shared" si="39"/>
        <v>2.1935478430238169E-2</v>
      </c>
      <c r="AX63">
        <f t="shared" si="39"/>
        <v>4.9656141855092421E-2</v>
      </c>
      <c r="AY63">
        <f t="shared" si="39"/>
        <v>8.4680792101096872E-2</v>
      </c>
      <c r="AZ63">
        <f t="shared" si="39"/>
        <v>5.2515996072276068E-3</v>
      </c>
      <c r="BA63">
        <f t="shared" si="39"/>
        <v>3.7628762279370016E-2</v>
      </c>
      <c r="BB63">
        <f t="shared" si="39"/>
        <v>2.364692165294803E-2</v>
      </c>
      <c r="BC63">
        <f t="shared" si="39"/>
        <v>9.6394544471998467E-2</v>
      </c>
      <c r="BD63">
        <f t="shared" si="39"/>
        <v>2.8046317777985563E-2</v>
      </c>
      <c r="BE63">
        <f t="shared" si="39"/>
        <v>0.10690186830899573</v>
      </c>
      <c r="BF63">
        <f t="shared" si="39"/>
        <v>4.0182888428254751E-2</v>
      </c>
      <c r="BG63">
        <f t="shared" si="39"/>
        <v>2.6470768277732114E-2</v>
      </c>
      <c r="BH63">
        <f t="shared" si="39"/>
        <v>1.4273072617324653E-2</v>
      </c>
      <c r="BI63">
        <f t="shared" ref="BI63:BZ63" si="40">(BI54/$AC2)*0.059213</f>
        <v>2.6718926110422283E-2</v>
      </c>
      <c r="BJ63">
        <f t="shared" si="40"/>
        <v>1.7384838290137764E-2</v>
      </c>
      <c r="BK63">
        <f t="shared" si="40"/>
        <v>2.5522369387092122E-2</v>
      </c>
      <c r="BL63">
        <f t="shared" si="40"/>
        <v>5.0422300230727295E-2</v>
      </c>
      <c r="BM63">
        <f t="shared" si="40"/>
        <v>8.0098429430019255E-2</v>
      </c>
      <c r="BN63">
        <f t="shared" si="40"/>
        <v>1.2943627319987551E-2</v>
      </c>
      <c r="BO63">
        <f t="shared" si="40"/>
        <v>3.1592935927122631E-2</v>
      </c>
      <c r="BP63">
        <f t="shared" si="40"/>
        <v>2.0862678011408686E-2</v>
      </c>
      <c r="BQ63">
        <f t="shared" si="40"/>
        <v>1.2792783087814768E-2</v>
      </c>
      <c r="BR63">
        <f t="shared" si="40"/>
        <v>0.13698087411437487</v>
      </c>
      <c r="BS63">
        <f t="shared" si="40"/>
        <v>7.7483164508456177E-3</v>
      </c>
      <c r="BT63">
        <f t="shared" si="40"/>
        <v>0.1086654360162138</v>
      </c>
      <c r="BU63">
        <f t="shared" si="40"/>
        <v>7.9387296064205901E-2</v>
      </c>
      <c r="BV63">
        <f t="shared" si="40"/>
        <v>0.56772929435336772</v>
      </c>
      <c r="BW63">
        <f t="shared" si="40"/>
        <v>9.1317145492766996E-2</v>
      </c>
      <c r="BX63">
        <f t="shared" si="40"/>
        <v>1.7482971389786231E-2</v>
      </c>
      <c r="BY63">
        <f t="shared" si="40"/>
        <v>2.0488886750753138E-2</v>
      </c>
      <c r="BZ63">
        <f t="shared" si="40"/>
        <v>0.1271611330011492</v>
      </c>
    </row>
    <row r="64" spans="1:104" x14ac:dyDescent="0.2">
      <c r="A64">
        <v>398</v>
      </c>
      <c r="B64" s="5">
        <v>439</v>
      </c>
      <c r="C64" s="5" t="s">
        <v>64</v>
      </c>
      <c r="D64" s="5" t="s">
        <v>119</v>
      </c>
      <c r="E64" s="5" t="s">
        <v>120</v>
      </c>
      <c r="F64" s="5" t="s">
        <v>121</v>
      </c>
      <c r="G64" s="5" t="s">
        <v>121</v>
      </c>
      <c r="H64" s="5">
        <v>2</v>
      </c>
      <c r="I64" s="5" t="s">
        <v>122</v>
      </c>
      <c r="J64" s="5">
        <v>811.68925000000002</v>
      </c>
      <c r="K64" s="5">
        <v>811.6893</v>
      </c>
      <c r="L64" s="5">
        <v>812.69652659999997</v>
      </c>
      <c r="M64" s="5">
        <v>7.0490000000000004</v>
      </c>
      <c r="N64" s="5">
        <v>7.0490000000000004</v>
      </c>
      <c r="O64" s="5">
        <v>1.6370181142591733</v>
      </c>
      <c r="P64" t="s">
        <v>76</v>
      </c>
      <c r="Q64" s="5">
        <v>4.306</v>
      </c>
      <c r="R64" s="5">
        <v>5</v>
      </c>
      <c r="S64" s="5" t="s">
        <v>70</v>
      </c>
      <c r="T64" s="5" t="s">
        <v>71</v>
      </c>
      <c r="AC64">
        <f t="shared" ref="AC64:BH64" si="41">(AC55/$AC3)*0.059213</f>
        <v>0.13225175954182194</v>
      </c>
      <c r="AD64">
        <f t="shared" si="41"/>
        <v>0.17266456334213967</v>
      </c>
      <c r="AE64">
        <f t="shared" si="41"/>
        <v>9.876380835766374E-2</v>
      </c>
      <c r="AF64">
        <f t="shared" si="41"/>
        <v>0.39212387703392826</v>
      </c>
      <c r="AG64">
        <f t="shared" si="41"/>
        <v>8.9465418563575441E-2</v>
      </c>
      <c r="AH64">
        <f t="shared" si="41"/>
        <v>5.5918358222018925E-2</v>
      </c>
      <c r="AI64">
        <f t="shared" si="41"/>
        <v>0.63236036366526815</v>
      </c>
      <c r="AJ64">
        <f t="shared" si="41"/>
        <v>3.8656850558484515E-2</v>
      </c>
      <c r="AK64">
        <f t="shared" si="41"/>
        <v>0.47319114770425919</v>
      </c>
      <c r="AL64">
        <f t="shared" si="41"/>
        <v>0.34440257653147516</v>
      </c>
      <c r="AM64">
        <f t="shared" si="41"/>
        <v>2.3012745293491355</v>
      </c>
      <c r="AN64">
        <f t="shared" si="41"/>
        <v>0.43833853761373404</v>
      </c>
      <c r="AO64">
        <f t="shared" si="41"/>
        <v>7.9369160903232872E-2</v>
      </c>
      <c r="AP64">
        <f t="shared" si="41"/>
        <v>0.1021496937947189</v>
      </c>
      <c r="AQ64">
        <f t="shared" si="41"/>
        <v>0.53641970165105002</v>
      </c>
      <c r="AR64">
        <f t="shared" si="41"/>
        <v>0.12322105707676927</v>
      </c>
      <c r="AS64">
        <f t="shared" si="41"/>
        <v>0.43075777293824336</v>
      </c>
      <c r="AT64">
        <f t="shared" si="41"/>
        <v>0.10248673007835059</v>
      </c>
      <c r="AU64">
        <f t="shared" si="41"/>
        <v>0.47454830023701705</v>
      </c>
      <c r="AV64">
        <f t="shared" si="41"/>
        <v>0.18297110004134681</v>
      </c>
      <c r="AW64">
        <f t="shared" si="41"/>
        <v>5.3489491703955991E-2</v>
      </c>
      <c r="AX64">
        <f t="shared" si="41"/>
        <v>9.420572724695625E-2</v>
      </c>
      <c r="AY64">
        <f t="shared" si="41"/>
        <v>0.12646853300700858</v>
      </c>
      <c r="AZ64">
        <f t="shared" si="41"/>
        <v>6.1802181932575105E-2</v>
      </c>
      <c r="BA64">
        <f t="shared" si="41"/>
        <v>9.8565240857476685E-2</v>
      </c>
      <c r="BB64">
        <f t="shared" si="41"/>
        <v>0.12395876080011882</v>
      </c>
      <c r="BC64">
        <f t="shared" si="41"/>
        <v>0.2130259640478262</v>
      </c>
      <c r="BD64">
        <f t="shared" si="41"/>
        <v>0.1353332896233326</v>
      </c>
      <c r="BE64">
        <f t="shared" si="41"/>
        <v>0.13721132871964045</v>
      </c>
      <c r="BF64">
        <f t="shared" si="41"/>
        <v>3.5370088861575395E-2</v>
      </c>
      <c r="BG64">
        <f t="shared" si="41"/>
        <v>0.12773472119367263</v>
      </c>
      <c r="BH64">
        <f t="shared" si="41"/>
        <v>7.9133940956694418E-2</v>
      </c>
      <c r="BI64">
        <f t="shared" ref="BI64:BZ64" si="42">(BI55/$AC3)*0.059213</f>
        <v>0.11983510548708773</v>
      </c>
      <c r="BJ64">
        <f t="shared" si="42"/>
        <v>7.7948903274263293E-2</v>
      </c>
      <c r="BK64">
        <f t="shared" si="42"/>
        <v>0.14472722270424149</v>
      </c>
      <c r="BL64">
        <f t="shared" si="42"/>
        <v>0.22527917670855366</v>
      </c>
      <c r="BM64">
        <f t="shared" si="42"/>
        <v>0.34711429941949434</v>
      </c>
      <c r="BN64">
        <f t="shared" si="42"/>
        <v>5.6836804352996186E-2</v>
      </c>
      <c r="BO64">
        <f t="shared" si="42"/>
        <v>0.14482002568270785</v>
      </c>
      <c r="BP64">
        <f t="shared" si="42"/>
        <v>8.5440107673002211E-2</v>
      </c>
      <c r="BQ64">
        <f t="shared" si="42"/>
        <v>0.10712296324319098</v>
      </c>
      <c r="BR64">
        <f t="shared" si="42"/>
        <v>0.24020275525174267</v>
      </c>
      <c r="BS64">
        <f t="shared" si="42"/>
        <v>0.42774987272053133</v>
      </c>
      <c r="BT64">
        <f t="shared" si="42"/>
        <v>2.9195554313761269E-2</v>
      </c>
      <c r="BU64">
        <f t="shared" si="42"/>
        <v>0.1920358875778472</v>
      </c>
      <c r="BV64">
        <f t="shared" si="42"/>
        <v>5.0305381258917668E-2</v>
      </c>
      <c r="BW64">
        <f t="shared" si="42"/>
        <v>0.24699354910419194</v>
      </c>
      <c r="BX64">
        <f t="shared" si="42"/>
        <v>2.8744102523225283E-2</v>
      </c>
      <c r="BY64">
        <f t="shared" si="42"/>
        <v>9.8184320336700714E-2</v>
      </c>
      <c r="BZ64">
        <f t="shared" si="42"/>
        <v>7.1320216081890125E-2</v>
      </c>
    </row>
    <row r="65" spans="1:78" x14ac:dyDescent="0.2">
      <c r="A65">
        <v>5012</v>
      </c>
      <c r="B65" s="5">
        <v>5787</v>
      </c>
      <c r="C65" s="5" t="s">
        <v>64</v>
      </c>
      <c r="D65" s="5"/>
      <c r="E65" s="5" t="s">
        <v>123</v>
      </c>
      <c r="F65" s="5" t="s">
        <v>123</v>
      </c>
      <c r="G65" s="5" t="s">
        <v>123</v>
      </c>
      <c r="H65" s="5">
        <v>3</v>
      </c>
      <c r="I65" s="5" t="s">
        <v>124</v>
      </c>
      <c r="J65" s="5">
        <v>809.67355999999995</v>
      </c>
      <c r="K65" s="5">
        <v>809.67359999999996</v>
      </c>
      <c r="L65" s="5">
        <v>810.68083659999991</v>
      </c>
      <c r="M65" s="5">
        <v>6.7380000000000004</v>
      </c>
      <c r="N65" s="5">
        <v>6.7380000000000004</v>
      </c>
      <c r="O65" s="5"/>
      <c r="P65" s="5"/>
      <c r="Q65" s="5"/>
      <c r="R65" s="5">
        <v>1</v>
      </c>
      <c r="S65" s="5" t="s">
        <v>70</v>
      </c>
      <c r="T65" s="5" t="s">
        <v>71</v>
      </c>
      <c r="AC65">
        <f t="shared" ref="AC65:BH65" si="43">(AC56/$AC4)*0.059213</f>
        <v>1.3411275469796505E-3</v>
      </c>
      <c r="AD65">
        <f t="shared" si="43"/>
        <v>5.4947055074964102E-4</v>
      </c>
      <c r="AE65">
        <f t="shared" si="43"/>
        <v>2.1075460205192517E-3</v>
      </c>
      <c r="AF65">
        <f t="shared" si="43"/>
        <v>3.1556584304034773E-4</v>
      </c>
      <c r="AG65">
        <f t="shared" si="43"/>
        <v>1.1320331387116248E-3</v>
      </c>
      <c r="AH65">
        <f t="shared" si="43"/>
        <v>6.1988901126089607E-4</v>
      </c>
      <c r="AI65">
        <f t="shared" si="43"/>
        <v>2.2321084595412258E-3</v>
      </c>
      <c r="AJ65">
        <f t="shared" si="43"/>
        <v>1.4186259631932929E-3</v>
      </c>
      <c r="AK65">
        <f t="shared" si="43"/>
        <v>1.6010348114559804E-3</v>
      </c>
      <c r="AL65">
        <f t="shared" si="43"/>
        <v>3.4058965196553942E-4</v>
      </c>
      <c r="AM65">
        <f t="shared" si="43"/>
        <v>1.7560292376706593E-3</v>
      </c>
      <c r="AN65">
        <f t="shared" si="43"/>
        <v>2.0749976628859283E-3</v>
      </c>
      <c r="AO65">
        <f t="shared" si="43"/>
        <v>5.1172174804487065E-4</v>
      </c>
      <c r="AP65">
        <f t="shared" si="43"/>
        <v>1.2117183527993183E-3</v>
      </c>
      <c r="AQ65">
        <f t="shared" si="43"/>
        <v>1.1303528310719771E-3</v>
      </c>
      <c r="AR65">
        <f t="shared" si="43"/>
        <v>9.4863990016245286E-4</v>
      </c>
      <c r="AS65">
        <f t="shared" si="43"/>
        <v>6.7105016797533868E-4</v>
      </c>
      <c r="AT65">
        <f t="shared" si="43"/>
        <v>6.293088936447342E-3</v>
      </c>
      <c r="AU65">
        <f t="shared" si="43"/>
        <v>1.3681485870103011E-3</v>
      </c>
      <c r="AV65">
        <f t="shared" si="43"/>
        <v>1.2076514780403897E-3</v>
      </c>
      <c r="AW65">
        <f t="shared" si="43"/>
        <v>1.1114391657029024E-3</v>
      </c>
      <c r="AX65">
        <f t="shared" si="43"/>
        <v>2.8734414342999983E-3</v>
      </c>
      <c r="AY65">
        <f t="shared" si="43"/>
        <v>4.5764752681823201E-3</v>
      </c>
      <c r="AZ65">
        <f t="shared" si="43"/>
        <v>3.0851374712803143E-4</v>
      </c>
      <c r="BA65">
        <f t="shared" si="43"/>
        <v>1.894435838559176E-3</v>
      </c>
      <c r="BB65">
        <f t="shared" si="43"/>
        <v>1.305561818256643E-3</v>
      </c>
      <c r="BC65">
        <f t="shared" si="43"/>
        <v>8.4337121057388355E-3</v>
      </c>
      <c r="BD65">
        <f t="shared" si="43"/>
        <v>1.4702900229787519E-3</v>
      </c>
      <c r="BE65">
        <f t="shared" si="43"/>
        <v>4.3971869253636485E-3</v>
      </c>
      <c r="BF65">
        <f t="shared" si="43"/>
        <v>1.7937790181821712E-3</v>
      </c>
      <c r="BG65">
        <f t="shared" si="43"/>
        <v>1.3284036860243026E-3</v>
      </c>
      <c r="BH65">
        <f t="shared" si="43"/>
        <v>6.3767417220064889E-4</v>
      </c>
      <c r="BI65">
        <f t="shared" ref="BI65:BZ65" si="44">(BI56/$AC4)*0.059213</f>
        <v>1.3500514212637493E-3</v>
      </c>
      <c r="BJ65">
        <f t="shared" si="44"/>
        <v>8.1215710565507614E-4</v>
      </c>
      <c r="BK65">
        <f t="shared" si="44"/>
        <v>1.6193237456063249E-3</v>
      </c>
      <c r="BL65">
        <f t="shared" si="44"/>
        <v>2.0964251633041478E-3</v>
      </c>
      <c r="BM65">
        <f t="shared" si="44"/>
        <v>4.5730661659978489E-3</v>
      </c>
      <c r="BN65">
        <f t="shared" si="44"/>
        <v>5.7911347014106705E-4</v>
      </c>
      <c r="BO65">
        <f t="shared" si="44"/>
        <v>1.5783827860567741E-3</v>
      </c>
      <c r="BP65">
        <f t="shared" si="44"/>
        <v>8.3132899933988026E-4</v>
      </c>
      <c r="BQ65">
        <f t="shared" si="44"/>
        <v>6.0549372550672525E-4</v>
      </c>
      <c r="BR65">
        <f t="shared" si="44"/>
        <v>9.7995296846464328E-3</v>
      </c>
      <c r="BS65">
        <f t="shared" si="44"/>
        <v>4.3668225057233537E-4</v>
      </c>
      <c r="BT65">
        <f t="shared" si="44"/>
        <v>5.9911651046179017E-3</v>
      </c>
      <c r="BU65">
        <f t="shared" si="44"/>
        <v>4.1992008327587996E-3</v>
      </c>
      <c r="BV65">
        <f t="shared" si="44"/>
        <v>4.7616052027771652E-2</v>
      </c>
      <c r="BW65">
        <f t="shared" si="44"/>
        <v>6.0998514229247177E-3</v>
      </c>
      <c r="BX65">
        <f t="shared" si="44"/>
        <v>8.9186006329024931E-4</v>
      </c>
      <c r="BY65">
        <f t="shared" si="44"/>
        <v>1.3771948509321253E-3</v>
      </c>
      <c r="BZ65">
        <f t="shared" si="44"/>
        <v>8.9809784810970621E-3</v>
      </c>
    </row>
    <row r="66" spans="1:78" x14ac:dyDescent="0.2">
      <c r="A66">
        <v>399</v>
      </c>
      <c r="B66" s="5">
        <v>440</v>
      </c>
      <c r="C66" s="5" t="s">
        <v>64</v>
      </c>
      <c r="D66" s="5" t="s">
        <v>125</v>
      </c>
      <c r="E66" s="5" t="s">
        <v>126</v>
      </c>
      <c r="F66" s="5" t="s">
        <v>127</v>
      </c>
      <c r="G66" s="5" t="s">
        <v>127</v>
      </c>
      <c r="H66" s="5">
        <v>2</v>
      </c>
      <c r="I66" s="5" t="s">
        <v>128</v>
      </c>
      <c r="J66" s="5">
        <v>813.66873999999996</v>
      </c>
      <c r="K66" s="5">
        <v>813.66869999999994</v>
      </c>
      <c r="L66" s="5">
        <v>814.67601659999991</v>
      </c>
      <c r="M66" s="5">
        <v>6.8440000000000003</v>
      </c>
      <c r="N66" s="5">
        <v>6.8440000000000003</v>
      </c>
      <c r="O66" s="5">
        <v>1.5894101254064097</v>
      </c>
      <c r="P66" t="s">
        <v>76</v>
      </c>
      <c r="Q66" s="5">
        <v>4.306</v>
      </c>
      <c r="R66" s="5">
        <v>3</v>
      </c>
      <c r="S66" s="5" t="s">
        <v>70</v>
      </c>
      <c r="T66" s="5" t="s">
        <v>71</v>
      </c>
      <c r="AC66">
        <f t="shared" ref="AC66:BH66" si="45">(AC57/$AC5)*0.059213</f>
        <v>2.9473424543172834E-3</v>
      </c>
      <c r="AD66">
        <f t="shared" si="45"/>
        <v>3.3396371474787977E-3</v>
      </c>
      <c r="AE66">
        <f t="shared" si="45"/>
        <v>2.8509447265214292E-3</v>
      </c>
      <c r="AF66">
        <f t="shared" si="45"/>
        <v>4.8520450283495494E-3</v>
      </c>
      <c r="AG66">
        <f t="shared" si="45"/>
        <v>1.8839074338032038E-3</v>
      </c>
      <c r="AH66">
        <f t="shared" si="45"/>
        <v>1.8825096058096239E-3</v>
      </c>
      <c r="AI66">
        <f t="shared" si="45"/>
        <v>4.4041301022177005E-3</v>
      </c>
      <c r="AJ66">
        <f t="shared" si="45"/>
        <v>1.9041352624334668E-3</v>
      </c>
      <c r="AK66">
        <f t="shared" si="45"/>
        <v>5.9721196714579402E-3</v>
      </c>
      <c r="AL66">
        <f t="shared" si="45"/>
        <v>5.3585578384751295E-3</v>
      </c>
      <c r="AM66">
        <f t="shared" si="45"/>
        <v>2.2125034423855057E-2</v>
      </c>
      <c r="AN66">
        <f t="shared" si="45"/>
        <v>4.2113356090851791E-3</v>
      </c>
      <c r="AO66">
        <f t="shared" si="45"/>
        <v>2.9417467125940444E-3</v>
      </c>
      <c r="AP66">
        <f t="shared" si="45"/>
        <v>3.7021709635484882E-3</v>
      </c>
      <c r="AQ66">
        <f t="shared" si="45"/>
        <v>8.258429529695771E-3</v>
      </c>
      <c r="AR66">
        <f t="shared" si="45"/>
        <v>3.3733390798646487E-3</v>
      </c>
      <c r="AS66">
        <f t="shared" si="45"/>
        <v>7.9204125184232921E-3</v>
      </c>
      <c r="AT66">
        <f t="shared" si="45"/>
        <v>3.2448864639424558E-3</v>
      </c>
      <c r="AU66">
        <f t="shared" si="45"/>
        <v>4.9671167312188638E-3</v>
      </c>
      <c r="AV66">
        <f t="shared" si="45"/>
        <v>3.4756506040551174E-3</v>
      </c>
      <c r="AW66">
        <f t="shared" si="45"/>
        <v>1.5969063175852039E-3</v>
      </c>
      <c r="AX66">
        <f t="shared" si="45"/>
        <v>2.9109940386138301E-3</v>
      </c>
      <c r="AY66">
        <f t="shared" si="45"/>
        <v>3.1427437233833423E-3</v>
      </c>
      <c r="AZ66">
        <f t="shared" si="45"/>
        <v>1.5209808624747545E-3</v>
      </c>
      <c r="BA66">
        <f t="shared" si="45"/>
        <v>2.7305234133006917E-3</v>
      </c>
      <c r="BB66">
        <f t="shared" si="45"/>
        <v>2.2726759345901046E-3</v>
      </c>
      <c r="BC66">
        <f t="shared" si="45"/>
        <v>3.2376366543467312E-3</v>
      </c>
      <c r="BD66">
        <f t="shared" si="45"/>
        <v>2.5501159985687654E-3</v>
      </c>
      <c r="BE66">
        <f t="shared" si="45"/>
        <v>2.8065876185686032E-3</v>
      </c>
      <c r="BF66">
        <f t="shared" si="45"/>
        <v>1.2797681435540126E-3</v>
      </c>
      <c r="BG66">
        <f t="shared" si="45"/>
        <v>1.7816117259100289E-3</v>
      </c>
      <c r="BH66">
        <f t="shared" si="45"/>
        <v>1.3540200154182282E-3</v>
      </c>
      <c r="BI66">
        <f t="shared" ref="BI66:BZ66" si="46">(BI57/$AC5)*0.059213</f>
        <v>2.2437758277053235E-3</v>
      </c>
      <c r="BJ66">
        <f t="shared" si="46"/>
        <v>1.3752952099094086E-3</v>
      </c>
      <c r="BK66">
        <f t="shared" si="46"/>
        <v>1.3949195987321894E-3</v>
      </c>
      <c r="BL66">
        <f t="shared" si="46"/>
        <v>2.7752920249343059E-3</v>
      </c>
      <c r="BM66">
        <f t="shared" si="46"/>
        <v>3.7176243500758868E-3</v>
      </c>
      <c r="BN66">
        <f t="shared" si="46"/>
        <v>1.1962075147713077E-3</v>
      </c>
      <c r="BO66">
        <f t="shared" si="46"/>
        <v>2.0393243341375778E-3</v>
      </c>
      <c r="BP66">
        <f t="shared" si="46"/>
        <v>1.3769692510694322E-3</v>
      </c>
      <c r="BQ66">
        <f t="shared" si="46"/>
        <v>1.9733368051823444E-3</v>
      </c>
      <c r="BR66">
        <f t="shared" si="46"/>
        <v>2.8827482553734998E-3</v>
      </c>
      <c r="BS66">
        <f t="shared" si="46"/>
        <v>4.2516026729268195E-3</v>
      </c>
      <c r="BT66">
        <f t="shared" si="46"/>
        <v>1.1467783025953728E-3</v>
      </c>
      <c r="BU66">
        <f t="shared" si="46"/>
        <v>3.2206729200693336E-3</v>
      </c>
      <c r="BV66">
        <f t="shared" si="46"/>
        <v>8.7047871628510192E-4</v>
      </c>
      <c r="BW66">
        <f t="shared" si="46"/>
        <v>3.5618765757364904E-3</v>
      </c>
      <c r="BX66">
        <f t="shared" si="46"/>
        <v>8.2545039037112045E-4</v>
      </c>
      <c r="BY66">
        <f t="shared" si="46"/>
        <v>1.5170129013005683E-3</v>
      </c>
      <c r="BZ66">
        <f t="shared" si="46"/>
        <v>1.4510989177448279E-3</v>
      </c>
    </row>
    <row r="67" spans="1:78" x14ac:dyDescent="0.2">
      <c r="A67">
        <v>397</v>
      </c>
      <c r="B67" s="5">
        <v>438</v>
      </c>
      <c r="C67" s="5" t="s">
        <v>64</v>
      </c>
      <c r="D67" s="5" t="s">
        <v>129</v>
      </c>
      <c r="E67" s="5" t="s">
        <v>130</v>
      </c>
      <c r="F67" s="5" t="s">
        <v>131</v>
      </c>
      <c r="G67" s="5" t="s">
        <v>131</v>
      </c>
      <c r="H67" s="5">
        <v>2</v>
      </c>
      <c r="I67" s="5" t="s">
        <v>132</v>
      </c>
      <c r="J67" s="5">
        <v>827.68406000000004</v>
      </c>
      <c r="K67" s="5">
        <v>827.68409999999994</v>
      </c>
      <c r="L67" s="5">
        <v>828.6913366</v>
      </c>
      <c r="M67" s="5">
        <v>6.9779999999999998</v>
      </c>
      <c r="N67" s="5">
        <v>6.9779999999999998</v>
      </c>
      <c r="O67" s="5">
        <v>1.6205294937296795</v>
      </c>
      <c r="P67" t="s">
        <v>76</v>
      </c>
      <c r="Q67" s="5">
        <v>4.306</v>
      </c>
      <c r="R67" s="5">
        <v>6</v>
      </c>
      <c r="S67" s="5" t="s">
        <v>70</v>
      </c>
      <c r="T67" s="5" t="s">
        <v>71</v>
      </c>
      <c r="AC67">
        <f t="shared" ref="AC67:BH67" si="47">(AC58/$AC6)*0.059213</f>
        <v>0.147923938106445</v>
      </c>
      <c r="AD67">
        <f t="shared" si="47"/>
        <v>0.15859558922873404</v>
      </c>
      <c r="AE67">
        <f t="shared" si="47"/>
        <v>0.1070456997561645</v>
      </c>
      <c r="AF67">
        <f t="shared" si="47"/>
        <v>0.29664401755531006</v>
      </c>
      <c r="AG67">
        <f t="shared" si="47"/>
        <v>7.4226574988378313E-2</v>
      </c>
      <c r="AH67">
        <f t="shared" si="47"/>
        <v>6.6429156000282291E-2</v>
      </c>
      <c r="AI67">
        <f t="shared" si="47"/>
        <v>0.39350890895238061</v>
      </c>
      <c r="AJ67">
        <f t="shared" si="47"/>
        <v>5.4541893439078878E-2</v>
      </c>
      <c r="AK67">
        <f t="shared" si="47"/>
        <v>0.36343556302394336</v>
      </c>
      <c r="AL67">
        <f t="shared" si="47"/>
        <v>0.29034184040887107</v>
      </c>
      <c r="AM67">
        <f t="shared" si="47"/>
        <v>1.570782363886601</v>
      </c>
      <c r="AN67">
        <f t="shared" si="47"/>
        <v>0.26780358403804416</v>
      </c>
      <c r="AO67">
        <f t="shared" si="47"/>
        <v>0.10577647216075474</v>
      </c>
      <c r="AP67">
        <f t="shared" si="47"/>
        <v>0.13626011248395622</v>
      </c>
      <c r="AQ67">
        <f t="shared" si="47"/>
        <v>0.43875316243458651</v>
      </c>
      <c r="AR67">
        <f t="shared" si="47"/>
        <v>0.14764695829680338</v>
      </c>
      <c r="AS67">
        <f t="shared" si="47"/>
        <v>0.40357613398005576</v>
      </c>
      <c r="AT67">
        <f t="shared" si="47"/>
        <v>0.11708184334263169</v>
      </c>
      <c r="AU67">
        <f t="shared" si="47"/>
        <v>0.31078793677963451</v>
      </c>
      <c r="AV67">
        <f t="shared" si="47"/>
        <v>0.17547464227030199</v>
      </c>
      <c r="AW67">
        <f t="shared" si="47"/>
        <v>5.8479011437913495E-2</v>
      </c>
      <c r="AX67">
        <f t="shared" si="47"/>
        <v>0.11360855776897584</v>
      </c>
      <c r="AY67">
        <f t="shared" si="47"/>
        <v>0.13956979943638886</v>
      </c>
      <c r="AZ67">
        <f t="shared" si="47"/>
        <v>6.7330699757134127E-2</v>
      </c>
      <c r="BA67">
        <f t="shared" si="47"/>
        <v>0.10374245667839625</v>
      </c>
      <c r="BB67">
        <f t="shared" si="47"/>
        <v>0.10343764793366218</v>
      </c>
      <c r="BC67">
        <f t="shared" si="47"/>
        <v>0.17551754418374951</v>
      </c>
      <c r="BD67">
        <f t="shared" si="47"/>
        <v>0.11545006111833016</v>
      </c>
      <c r="BE67">
        <f t="shared" si="47"/>
        <v>0.12613700467786637</v>
      </c>
      <c r="BF67">
        <f t="shared" si="47"/>
        <v>3.7561079915047667E-2</v>
      </c>
      <c r="BG67">
        <f t="shared" si="47"/>
        <v>9.4176848332580304E-2</v>
      </c>
      <c r="BH67">
        <f t="shared" si="47"/>
        <v>6.1731292196709031E-2</v>
      </c>
      <c r="BI67">
        <f t="shared" ref="BI67:BZ67" si="48">(BI58/$AC6)*0.059213</f>
        <v>9.913214921798473E-2</v>
      </c>
      <c r="BJ67">
        <f t="shared" si="48"/>
        <v>6.090075821546824E-2</v>
      </c>
      <c r="BK67">
        <f t="shared" si="48"/>
        <v>8.7462816865882628E-2</v>
      </c>
      <c r="BL67">
        <f t="shared" si="48"/>
        <v>0.15618189950322703</v>
      </c>
      <c r="BM67">
        <f t="shared" si="48"/>
        <v>0.22874434175227684</v>
      </c>
      <c r="BN67">
        <f t="shared" si="48"/>
        <v>4.5959555484809303E-2</v>
      </c>
      <c r="BO67">
        <f t="shared" si="48"/>
        <v>0.10712168376384185</v>
      </c>
      <c r="BP67">
        <f t="shared" si="48"/>
        <v>5.8344224683018392E-2</v>
      </c>
      <c r="BQ67">
        <f t="shared" si="48"/>
        <v>9.0927407464444832E-2</v>
      </c>
      <c r="BR67">
        <f t="shared" si="48"/>
        <v>0.16235744609621217</v>
      </c>
      <c r="BS67">
        <f t="shared" si="48"/>
        <v>0.27781221804180556</v>
      </c>
      <c r="BT67">
        <f t="shared" si="48"/>
        <v>3.5037421527933293E-2</v>
      </c>
      <c r="BU67">
        <f t="shared" si="48"/>
        <v>0.1428027125879632</v>
      </c>
      <c r="BV67">
        <f t="shared" si="48"/>
        <v>3.7860714055485238E-2</v>
      </c>
      <c r="BW67">
        <f t="shared" si="48"/>
        <v>0.20935240745190423</v>
      </c>
      <c r="BX67">
        <f t="shared" si="48"/>
        <v>2.8480339678055605E-2</v>
      </c>
      <c r="BY67">
        <f t="shared" si="48"/>
        <v>7.0502299755850623E-2</v>
      </c>
      <c r="BZ67">
        <f t="shared" si="48"/>
        <v>6.1561162328065015E-2</v>
      </c>
    </row>
    <row r="68" spans="1:78" x14ac:dyDescent="0.2">
      <c r="A68">
        <v>396</v>
      </c>
      <c r="B68" s="5">
        <v>437</v>
      </c>
      <c r="C68" s="5" t="s">
        <v>64</v>
      </c>
      <c r="D68" s="5" t="s">
        <v>133</v>
      </c>
      <c r="E68" s="5" t="s">
        <v>134</v>
      </c>
      <c r="F68" s="5" t="s">
        <v>135</v>
      </c>
      <c r="G68" s="5" t="s">
        <v>135</v>
      </c>
      <c r="H68" s="5">
        <v>2</v>
      </c>
      <c r="I68" s="5" t="s">
        <v>136</v>
      </c>
      <c r="J68" s="5">
        <v>825.66832999999997</v>
      </c>
      <c r="K68" s="5">
        <v>825.66830000000004</v>
      </c>
      <c r="L68" s="5">
        <v>826.67560659999992</v>
      </c>
      <c r="M68" s="5">
        <v>6.6559999999999997</v>
      </c>
      <c r="N68" s="5">
        <v>6.6559999999999997</v>
      </c>
      <c r="O68" s="5">
        <v>1.5457501161170459</v>
      </c>
      <c r="P68" t="s">
        <v>76</v>
      </c>
      <c r="Q68" s="5">
        <v>4.306</v>
      </c>
      <c r="R68" s="5">
        <v>3</v>
      </c>
      <c r="S68" s="5" t="s">
        <v>70</v>
      </c>
      <c r="T68" s="5" t="s">
        <v>71</v>
      </c>
      <c r="AC68">
        <f t="shared" ref="AC68:BH68" si="49">(AC59/$AC7)*0.059213</f>
        <v>5.6295241480537658E-3</v>
      </c>
      <c r="AD68">
        <f t="shared" si="49"/>
        <v>5.3049953400604952E-3</v>
      </c>
      <c r="AE68">
        <f t="shared" si="49"/>
        <v>3.5737718635556874E-3</v>
      </c>
      <c r="AF68">
        <f t="shared" si="49"/>
        <v>1.3403425978612988E-2</v>
      </c>
      <c r="AG68">
        <f t="shared" si="49"/>
        <v>2.5180877257769741E-3</v>
      </c>
      <c r="AH68">
        <f t="shared" si="49"/>
        <v>1.8692403950567825E-3</v>
      </c>
      <c r="AI68">
        <f t="shared" si="49"/>
        <v>1.8428353242925983E-2</v>
      </c>
      <c r="AJ68">
        <f t="shared" si="49"/>
        <v>1.578415443992188E-3</v>
      </c>
      <c r="AK68">
        <f t="shared" si="49"/>
        <v>1.2946859546457761E-2</v>
      </c>
      <c r="AL68">
        <f t="shared" si="49"/>
        <v>8.9492554385458053E-3</v>
      </c>
      <c r="AM68">
        <f t="shared" si="49"/>
        <v>6.3337099440148092E-2</v>
      </c>
      <c r="AN68">
        <f t="shared" si="49"/>
        <v>1.1093960202251134E-2</v>
      </c>
      <c r="AO68">
        <f t="shared" si="49"/>
        <v>3.1772214454557478E-3</v>
      </c>
      <c r="AP68">
        <f t="shared" si="49"/>
        <v>4.5356112540052701E-3</v>
      </c>
      <c r="AQ68">
        <f t="shared" si="49"/>
        <v>2.7661990929611264E-2</v>
      </c>
      <c r="AR68">
        <f t="shared" si="49"/>
        <v>4.0353822486043113E-3</v>
      </c>
      <c r="AS68">
        <f t="shared" si="49"/>
        <v>2.3382968324733865E-2</v>
      </c>
      <c r="AT68">
        <f t="shared" si="49"/>
        <v>4.9401888999117752E-3</v>
      </c>
      <c r="AU68">
        <f t="shared" si="49"/>
        <v>1.1786690790507381E-2</v>
      </c>
      <c r="AV68">
        <f t="shared" si="49"/>
        <v>5.5154363183791844E-3</v>
      </c>
      <c r="AW68">
        <f t="shared" si="49"/>
        <v>1.7023725255292067E-3</v>
      </c>
      <c r="AX68">
        <f t="shared" si="49"/>
        <v>3.6444568810752626E-3</v>
      </c>
      <c r="AY68">
        <f t="shared" si="49"/>
        <v>4.0621738198440291E-3</v>
      </c>
      <c r="AZ68">
        <f t="shared" si="49"/>
        <v>2.1305108068342361E-3</v>
      </c>
      <c r="BA68">
        <f t="shared" si="49"/>
        <v>3.660638538632049E-3</v>
      </c>
      <c r="BB68">
        <f t="shared" si="49"/>
        <v>3.1852142994598371E-3</v>
      </c>
      <c r="BC68">
        <f t="shared" si="49"/>
        <v>4.9670417927809851E-3</v>
      </c>
      <c r="BD68">
        <f t="shared" si="49"/>
        <v>3.4674405060493223E-3</v>
      </c>
      <c r="BE68">
        <f t="shared" si="49"/>
        <v>3.7994051011804027E-3</v>
      </c>
      <c r="BF68">
        <f t="shared" si="49"/>
        <v>1.0412844538094292E-3</v>
      </c>
      <c r="BG68">
        <f t="shared" si="49"/>
        <v>2.7804629670039379E-3</v>
      </c>
      <c r="BH68">
        <f t="shared" si="49"/>
        <v>1.4828997627258835E-3</v>
      </c>
      <c r="BI68">
        <f t="shared" ref="BI68:BZ68" si="50">(BI59/$AC7)*0.059213</f>
        <v>2.7516150390018515E-3</v>
      </c>
      <c r="BJ68">
        <f t="shared" si="50"/>
        <v>1.5424453737901227E-3</v>
      </c>
      <c r="BK68">
        <f t="shared" si="50"/>
        <v>2.4057785432707521E-3</v>
      </c>
      <c r="BL68">
        <f t="shared" si="50"/>
        <v>4.5764780533630632E-3</v>
      </c>
      <c r="BM68">
        <f t="shared" si="50"/>
        <v>9.2008757106227766E-3</v>
      </c>
      <c r="BN68">
        <f t="shared" si="50"/>
        <v>1.2622224711610641E-3</v>
      </c>
      <c r="BO68">
        <f t="shared" si="50"/>
        <v>3.7362925366466147E-3</v>
      </c>
      <c r="BP68">
        <f t="shared" si="50"/>
        <v>1.6148799963649413E-3</v>
      </c>
      <c r="BQ68">
        <f t="shared" si="50"/>
        <v>2.721091408723147E-3</v>
      </c>
      <c r="BR68">
        <f t="shared" si="50"/>
        <v>5.1585574848359884E-3</v>
      </c>
      <c r="BS68">
        <f t="shared" si="50"/>
        <v>9.2760640852796138E-3</v>
      </c>
      <c r="BT68">
        <f t="shared" si="50"/>
        <v>1.0330266712130691E-3</v>
      </c>
      <c r="BU68">
        <f t="shared" si="50"/>
        <v>3.7141540689884594E-3</v>
      </c>
      <c r="BV68">
        <f t="shared" si="50"/>
        <v>1.0261938710209547E-3</v>
      </c>
      <c r="BW68">
        <f t="shared" si="50"/>
        <v>5.512423010611907E-3</v>
      </c>
      <c r="BX68">
        <f t="shared" si="50"/>
        <v>6.9982494285338026E-4</v>
      </c>
      <c r="BY68">
        <f t="shared" si="50"/>
        <v>2.1305015133501869E-3</v>
      </c>
      <c r="BZ68">
        <f t="shared" si="50"/>
        <v>1.4825895936995052E-3</v>
      </c>
    </row>
    <row r="69" spans="1:78" x14ac:dyDescent="0.2">
      <c r="A69">
        <v>456</v>
      </c>
      <c r="B69" s="5">
        <v>436</v>
      </c>
      <c r="C69" s="5" t="s">
        <v>64</v>
      </c>
      <c r="D69" s="5"/>
      <c r="E69" s="5" t="s">
        <v>137</v>
      </c>
      <c r="F69" s="5" t="s">
        <v>137</v>
      </c>
      <c r="G69" s="5" t="s">
        <v>137</v>
      </c>
      <c r="H69" s="5">
        <v>2</v>
      </c>
      <c r="I69" s="5" t="s">
        <v>136</v>
      </c>
      <c r="J69" s="5">
        <v>825.66863000000001</v>
      </c>
      <c r="K69" s="5">
        <v>825.66859999999997</v>
      </c>
      <c r="L69" s="5">
        <v>826.67590659999996</v>
      </c>
      <c r="M69" s="5">
        <v>6.7640000000000002</v>
      </c>
      <c r="N69" s="5">
        <v>6.7640000000000002</v>
      </c>
      <c r="O69" s="5">
        <v>1.5708313980492337</v>
      </c>
      <c r="P69" t="s">
        <v>76</v>
      </c>
      <c r="Q69" s="5">
        <v>4.306</v>
      </c>
      <c r="R69" s="5">
        <v>3</v>
      </c>
      <c r="S69" s="5" t="s">
        <v>70</v>
      </c>
      <c r="T69" s="5" t="s">
        <v>71</v>
      </c>
      <c r="AC69">
        <f t="shared" ref="AC69:BH69" si="51">(AC60/$AC8)*0.059213</f>
        <v>4.6558414295816471E-3</v>
      </c>
      <c r="AD69">
        <f t="shared" si="51"/>
        <v>1.470859252027393E-3</v>
      </c>
      <c r="AE69">
        <f t="shared" si="51"/>
        <v>8.0972532904339586E-3</v>
      </c>
      <c r="AF69">
        <f t="shared" si="51"/>
        <v>1.5903605168660941E-3</v>
      </c>
      <c r="AG69">
        <f t="shared" si="51"/>
        <v>3.287344472348405E-3</v>
      </c>
      <c r="AH69">
        <f t="shared" si="51"/>
        <v>2.4443754328186728E-3</v>
      </c>
      <c r="AI69">
        <f t="shared" si="51"/>
        <v>6.9353460743216914E-3</v>
      </c>
      <c r="AJ69">
        <f t="shared" si="51"/>
        <v>5.1022458362816204E-3</v>
      </c>
      <c r="AK69">
        <f t="shared" si="51"/>
        <v>5.1600888569615592E-3</v>
      </c>
      <c r="AL69">
        <f t="shared" si="51"/>
        <v>2.1825863793150943E-3</v>
      </c>
      <c r="AM69">
        <f t="shared" si="51"/>
        <v>5.6343020398145795E-3</v>
      </c>
      <c r="AN69">
        <f t="shared" si="51"/>
        <v>7.825202171277041E-3</v>
      </c>
      <c r="AO69">
        <f t="shared" si="51"/>
        <v>2.8869594282889986E-3</v>
      </c>
      <c r="AP69">
        <f t="shared" si="51"/>
        <v>6.4349237908878027E-3</v>
      </c>
      <c r="AQ69">
        <f t="shared" si="51"/>
        <v>5.2368202150680264E-3</v>
      </c>
      <c r="AR69">
        <f t="shared" si="51"/>
        <v>5.1450999836998206E-3</v>
      </c>
      <c r="AS69">
        <f t="shared" si="51"/>
        <v>3.1300485593137857E-3</v>
      </c>
      <c r="AT69">
        <f t="shared" si="51"/>
        <v>1.0492113562461734E-2</v>
      </c>
      <c r="AU69">
        <f t="shared" si="51"/>
        <v>4.5441270799192321E-3</v>
      </c>
      <c r="AV69">
        <f t="shared" si="51"/>
        <v>4.4761351656885801E-3</v>
      </c>
      <c r="AW69">
        <f t="shared" si="51"/>
        <v>3.7725939177527773E-3</v>
      </c>
      <c r="AX69">
        <f t="shared" si="51"/>
        <v>5.3600833307972323E-3</v>
      </c>
      <c r="AY69">
        <f t="shared" si="51"/>
        <v>7.7265268387799388E-3</v>
      </c>
      <c r="AZ69">
        <f t="shared" si="51"/>
        <v>2.3192110394022643E-3</v>
      </c>
      <c r="BA69">
        <f t="shared" si="51"/>
        <v>6.3421700384059679E-3</v>
      </c>
      <c r="BB69">
        <f t="shared" si="51"/>
        <v>6.4315766339124673E-3</v>
      </c>
      <c r="BC69">
        <f t="shared" si="51"/>
        <v>2.1600669968750458E-2</v>
      </c>
      <c r="BD69">
        <f t="shared" si="51"/>
        <v>8.622398400253679E-3</v>
      </c>
      <c r="BE69">
        <f t="shared" si="51"/>
        <v>1.0569349710799788E-2</v>
      </c>
      <c r="BF69">
        <f t="shared" si="51"/>
        <v>5.3058661958271004E-3</v>
      </c>
      <c r="BG69">
        <f t="shared" si="51"/>
        <v>3.6137504136816707E-3</v>
      </c>
      <c r="BH69">
        <f t="shared" si="51"/>
        <v>1.7404499014495984E-3</v>
      </c>
      <c r="BI69">
        <f t="shared" ref="BI69:BZ69" si="52">(BI60/$AC8)*0.059213</f>
        <v>5.9088760781313395E-3</v>
      </c>
      <c r="BJ69">
        <f t="shared" si="52"/>
        <v>2.3043528479196073E-3</v>
      </c>
      <c r="BK69">
        <f t="shared" si="52"/>
        <v>3.8206907118763854E-3</v>
      </c>
      <c r="BL69">
        <f t="shared" si="52"/>
        <v>5.2561318850990208E-3</v>
      </c>
      <c r="BM69">
        <f t="shared" si="52"/>
        <v>9.5454961010878695E-3</v>
      </c>
      <c r="BN69">
        <f t="shared" si="52"/>
        <v>2.3446154196108161E-3</v>
      </c>
      <c r="BO69">
        <f t="shared" si="52"/>
        <v>4.7357387623224957E-3</v>
      </c>
      <c r="BP69">
        <f t="shared" si="52"/>
        <v>2.1423550688718903E-3</v>
      </c>
      <c r="BQ69">
        <f t="shared" si="52"/>
        <v>3.3040586617229402E-3</v>
      </c>
      <c r="BR69">
        <f t="shared" si="52"/>
        <v>1.3586469965027947E-2</v>
      </c>
      <c r="BS69">
        <f t="shared" si="52"/>
        <v>2.9856355374053532E-3</v>
      </c>
      <c r="BT69">
        <f t="shared" si="52"/>
        <v>1.0770027803638758E-2</v>
      </c>
      <c r="BU69">
        <f t="shared" si="52"/>
        <v>7.0775270345734475E-3</v>
      </c>
      <c r="BV69">
        <f t="shared" si="52"/>
        <v>5.1534102546052188E-2</v>
      </c>
      <c r="BW69">
        <f t="shared" si="52"/>
        <v>1.0905262924535798E-2</v>
      </c>
      <c r="BX69">
        <f t="shared" si="52"/>
        <v>4.5711166609130795E-3</v>
      </c>
      <c r="BY69">
        <f t="shared" si="52"/>
        <v>5.9038208556964587E-3</v>
      </c>
      <c r="BZ69">
        <f t="shared" si="52"/>
        <v>2.1868793253335506E-2</v>
      </c>
    </row>
    <row r="70" spans="1:78" x14ac:dyDescent="0.2">
      <c r="A70">
        <v>395</v>
      </c>
      <c r="B70" s="5">
        <v>435</v>
      </c>
      <c r="C70" s="5" t="s">
        <v>64</v>
      </c>
      <c r="D70" s="5" t="s">
        <v>138</v>
      </c>
      <c r="E70" s="5" t="s">
        <v>139</v>
      </c>
      <c r="F70" s="5" t="s">
        <v>140</v>
      </c>
      <c r="G70" s="5" t="s">
        <v>140</v>
      </c>
      <c r="H70" s="5">
        <v>2</v>
      </c>
      <c r="I70" s="5" t="s">
        <v>141</v>
      </c>
      <c r="J70" s="5">
        <v>841.69368999999995</v>
      </c>
      <c r="K70" s="5">
        <v>841.69370000000004</v>
      </c>
      <c r="L70" s="5">
        <v>842.7009665999999</v>
      </c>
      <c r="M70" s="5">
        <v>7.1779999999999999</v>
      </c>
      <c r="N70" s="5">
        <v>7.1779999999999999</v>
      </c>
      <c r="O70" s="5">
        <v>1.6669763121226195</v>
      </c>
      <c r="P70" t="s">
        <v>76</v>
      </c>
      <c r="Q70" s="5">
        <v>4.306</v>
      </c>
      <c r="R70" s="5">
        <v>1</v>
      </c>
      <c r="S70" s="5" t="s">
        <v>70</v>
      </c>
      <c r="T70" s="5" t="s">
        <v>71</v>
      </c>
      <c r="AC70">
        <f>(AC61/$AC9)*0.059213</f>
        <v>5.6982318431982225E-2</v>
      </c>
      <c r="AD70">
        <f t="shared" ref="AD70:BZ70" si="53">(AD61/$AC9)*0.059213</f>
        <v>7.634834309060172E-2</v>
      </c>
      <c r="AE70">
        <f t="shared" si="53"/>
        <v>8.7236348893032098E-2</v>
      </c>
      <c r="AF70">
        <f t="shared" si="53"/>
        <v>0.10793896511466868</v>
      </c>
      <c r="AG70">
        <f t="shared" si="53"/>
        <v>7.4489102216939357E-2</v>
      </c>
      <c r="AH70">
        <f t="shared" si="53"/>
        <v>9.8475816241925349E-2</v>
      </c>
      <c r="AI70">
        <f t="shared" si="53"/>
        <v>7.8575843677002224E-2</v>
      </c>
      <c r="AJ70">
        <f t="shared" si="53"/>
        <v>8.9577137598925716E-2</v>
      </c>
      <c r="AK70">
        <f t="shared" si="53"/>
        <v>0.16841945817955864</v>
      </c>
      <c r="AL70">
        <f t="shared" si="53"/>
        <v>7.3260897910254044E-2</v>
      </c>
      <c r="AM70">
        <f t="shared" si="53"/>
        <v>0.10206850034482265</v>
      </c>
      <c r="AN70">
        <f t="shared" si="53"/>
        <v>6.193458695449032E-2</v>
      </c>
      <c r="AO70">
        <f t="shared" si="53"/>
        <v>7.0967000501810124E-2</v>
      </c>
      <c r="AP70">
        <f t="shared" si="53"/>
        <v>0.10314806458318246</v>
      </c>
      <c r="AQ70">
        <f t="shared" si="53"/>
        <v>0.13270431417190989</v>
      </c>
      <c r="AR70">
        <f t="shared" si="53"/>
        <v>9.7688118417926156E-2</v>
      </c>
      <c r="AS70">
        <f t="shared" si="53"/>
        <v>7.5568207555761172E-2</v>
      </c>
      <c r="AT70">
        <f t="shared" si="53"/>
        <v>2.7049724226429352E-2</v>
      </c>
      <c r="AU70">
        <f t="shared" si="53"/>
        <v>9.2138720867001811E-2</v>
      </c>
      <c r="AV70">
        <f t="shared" si="53"/>
        <v>9.6859306518300853E-2</v>
      </c>
      <c r="AW70">
        <f t="shared" si="53"/>
        <v>0.10420438377895369</v>
      </c>
      <c r="AX70">
        <f t="shared" si="53"/>
        <v>9.4621861230249696E-2</v>
      </c>
      <c r="AY70">
        <f t="shared" si="53"/>
        <v>6.7143752437434534E-2</v>
      </c>
      <c r="AZ70">
        <f t="shared" si="53"/>
        <v>0.12534729071403836</v>
      </c>
      <c r="BA70">
        <f t="shared" si="53"/>
        <v>0.14977930076289545</v>
      </c>
      <c r="BB70">
        <f t="shared" si="53"/>
        <v>0.14521320792940576</v>
      </c>
      <c r="BC70">
        <f t="shared" si="53"/>
        <v>9.7170626372990079E-2</v>
      </c>
      <c r="BD70">
        <f t="shared" si="53"/>
        <v>0.10936665790829599</v>
      </c>
      <c r="BE70">
        <f t="shared" si="53"/>
        <v>7.3681902260938459E-2</v>
      </c>
      <c r="BF70">
        <f t="shared" si="53"/>
        <v>6.8429935680652684E-2</v>
      </c>
      <c r="BG70">
        <f t="shared" si="53"/>
        <v>7.1553022326456411E-2</v>
      </c>
      <c r="BH70">
        <f t="shared" si="53"/>
        <v>9.4127061954600258E-2</v>
      </c>
      <c r="BI70">
        <f t="shared" si="53"/>
        <v>5.7488510108616518E-2</v>
      </c>
      <c r="BJ70">
        <f t="shared" si="53"/>
        <v>7.5941264284448029E-2</v>
      </c>
      <c r="BK70">
        <f t="shared" si="53"/>
        <v>6.9843725671869666E-2</v>
      </c>
      <c r="BL70">
        <f t="shared" si="53"/>
        <v>7.7223508161803581E-2</v>
      </c>
      <c r="BM70">
        <f t="shared" si="53"/>
        <v>8.8448377277926482E-2</v>
      </c>
      <c r="BN70">
        <f t="shared" si="53"/>
        <v>5.559526871462963E-2</v>
      </c>
      <c r="BO70">
        <f t="shared" si="53"/>
        <v>6.9184266983785686E-2</v>
      </c>
      <c r="BP70">
        <f t="shared" si="53"/>
        <v>6.9624969383129787E-2</v>
      </c>
      <c r="BQ70">
        <f t="shared" si="53"/>
        <v>0.11209922574460286</v>
      </c>
      <c r="BR70">
        <f t="shared" si="53"/>
        <v>9.0786980211995522E-2</v>
      </c>
      <c r="BS70">
        <f t="shared" si="53"/>
        <v>5.2700055876062815E-2</v>
      </c>
      <c r="BT70">
        <f t="shared" si="53"/>
        <v>6.6825375404181694E-2</v>
      </c>
      <c r="BU70">
        <f t="shared" si="53"/>
        <v>7.8877358574383744E-2</v>
      </c>
      <c r="BV70">
        <f t="shared" si="53"/>
        <v>9.0616010711655773E-2</v>
      </c>
      <c r="BW70">
        <f t="shared" si="53"/>
        <v>0.14038163174739435</v>
      </c>
      <c r="BX70">
        <f t="shared" si="53"/>
        <v>9.9519124797786226E-2</v>
      </c>
      <c r="BY70">
        <f t="shared" si="53"/>
        <v>0.11342788360706711</v>
      </c>
      <c r="BZ70">
        <f t="shared" si="53"/>
        <v>0.24448533472771622</v>
      </c>
    </row>
    <row r="71" spans="1:78" x14ac:dyDescent="0.2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Q71" s="9"/>
      <c r="R71" s="9"/>
      <c r="S71" s="9"/>
      <c r="T71" s="9"/>
      <c r="AB71" t="s">
        <v>142</v>
      </c>
      <c r="AC71">
        <f>SUM(AC63:AC65)</f>
        <v>0.15714247458761338</v>
      </c>
      <c r="AD71">
        <f t="shared" ref="AD71:BZ71" si="54">SUM(AD63:AD65)</f>
        <v>0.18252881877051666</v>
      </c>
      <c r="AE71">
        <f t="shared" si="54"/>
        <v>0.14516710193129229</v>
      </c>
      <c r="AF71">
        <f t="shared" si="54"/>
        <v>0.39726930314533954</v>
      </c>
      <c r="AG71">
        <f t="shared" si="54"/>
        <v>0.10758728686119486</v>
      </c>
      <c r="AH71">
        <f t="shared" si="54"/>
        <v>6.8679211112138233E-2</v>
      </c>
      <c r="AI71">
        <f t="shared" si="54"/>
        <v>0.6847583684899573</v>
      </c>
      <c r="AJ71">
        <f t="shared" si="54"/>
        <v>6.3842850413196484E-2</v>
      </c>
      <c r="AK71">
        <f t="shared" si="54"/>
        <v>0.50399737267585409</v>
      </c>
      <c r="AL71">
        <f t="shared" si="54"/>
        <v>0.3515346787280243</v>
      </c>
      <c r="AM71">
        <f t="shared" si="54"/>
        <v>2.3365278647693182</v>
      </c>
      <c r="AN71">
        <f t="shared" si="54"/>
        <v>0.47804727067675473</v>
      </c>
      <c r="AO71">
        <f t="shared" si="54"/>
        <v>8.9247256933778163E-2</v>
      </c>
      <c r="AP71">
        <f t="shared" si="54"/>
        <v>0.12330099268215262</v>
      </c>
      <c r="AQ71">
        <f t="shared" si="54"/>
        <v>0.5564405646487427</v>
      </c>
      <c r="AR71">
        <f t="shared" si="54"/>
        <v>0.1490330501270162</v>
      </c>
      <c r="AS71">
        <f t="shared" si="54"/>
        <v>0.44325625975447669</v>
      </c>
      <c r="AT71">
        <f t="shared" si="54"/>
        <v>0.19556087220391652</v>
      </c>
      <c r="AU71">
        <f t="shared" si="54"/>
        <v>0.49680189025238608</v>
      </c>
      <c r="AV71">
        <f t="shared" si="54"/>
        <v>0.20400139140990012</v>
      </c>
      <c r="AW71">
        <f t="shared" si="54"/>
        <v>7.6536409299897065E-2</v>
      </c>
      <c r="AX71">
        <f t="shared" si="54"/>
        <v>0.14673531053634867</v>
      </c>
      <c r="AY71">
        <f t="shared" si="54"/>
        <v>0.2157258003762878</v>
      </c>
      <c r="AZ71">
        <f t="shared" si="54"/>
        <v>6.7362295286930746E-2</v>
      </c>
      <c r="BA71">
        <f t="shared" si="54"/>
        <v>0.13808843897540587</v>
      </c>
      <c r="BB71">
        <f t="shared" si="54"/>
        <v>0.14891124427132349</v>
      </c>
      <c r="BC71">
        <f t="shared" si="54"/>
        <v>0.31785422062556351</v>
      </c>
      <c r="BD71">
        <f t="shared" si="54"/>
        <v>0.1648498974242969</v>
      </c>
      <c r="BE71">
        <f t="shared" si="54"/>
        <v>0.24851038395399982</v>
      </c>
      <c r="BF71">
        <f t="shared" si="54"/>
        <v>7.7346756308012327E-2</v>
      </c>
      <c r="BG71">
        <f t="shared" si="54"/>
        <v>0.15553389315742905</v>
      </c>
      <c r="BH71">
        <f t="shared" si="54"/>
        <v>9.4044687746219713E-2</v>
      </c>
      <c r="BI71">
        <f t="shared" si="54"/>
        <v>0.14790408301877375</v>
      </c>
      <c r="BJ71">
        <f t="shared" si="54"/>
        <v>9.6145898670056129E-2</v>
      </c>
      <c r="BK71">
        <f t="shared" si="54"/>
        <v>0.17186891583693995</v>
      </c>
      <c r="BL71">
        <f t="shared" si="54"/>
        <v>0.27779790210258509</v>
      </c>
      <c r="BM71">
        <f t="shared" si="54"/>
        <v>0.43178579501551145</v>
      </c>
      <c r="BN71">
        <f t="shared" si="54"/>
        <v>7.0359545143124813E-2</v>
      </c>
      <c r="BO71">
        <f t="shared" si="54"/>
        <v>0.17799134439588726</v>
      </c>
      <c r="BP71">
        <f t="shared" si="54"/>
        <v>0.10713411468375078</v>
      </c>
      <c r="BQ71">
        <f t="shared" si="54"/>
        <v>0.12052124005651248</v>
      </c>
      <c r="BR71">
        <f t="shared" si="54"/>
        <v>0.38698315905076397</v>
      </c>
      <c r="BS71">
        <f t="shared" si="54"/>
        <v>0.43593487142194931</v>
      </c>
      <c r="BT71">
        <f t="shared" si="54"/>
        <v>0.14385215543459295</v>
      </c>
      <c r="BU71">
        <f t="shared" si="54"/>
        <v>0.27562238447481191</v>
      </c>
      <c r="BV71">
        <f t="shared" si="54"/>
        <v>0.66565072764005706</v>
      </c>
      <c r="BW71">
        <f t="shared" si="54"/>
        <v>0.34441054601988369</v>
      </c>
      <c r="BX71">
        <f t="shared" si="54"/>
        <v>4.7118933976301763E-2</v>
      </c>
      <c r="BY71">
        <f t="shared" si="54"/>
        <v>0.12005040193838598</v>
      </c>
      <c r="BZ71">
        <f t="shared" si="54"/>
        <v>0.20746232756413638</v>
      </c>
    </row>
    <row r="72" spans="1:78" x14ac:dyDescent="0.2">
      <c r="AB72" t="s">
        <v>113</v>
      </c>
      <c r="AC72">
        <f>SUM(AC63:AC71)</f>
        <v>0.5324239137456066</v>
      </c>
      <c r="AD72">
        <f t="shared" ref="AD72:BZ72" si="55">SUM(AD63:AD70)</f>
        <v>0.4275882428294191</v>
      </c>
      <c r="AE72">
        <f t="shared" si="55"/>
        <v>0.35397112046099999</v>
      </c>
      <c r="AF72">
        <f t="shared" si="55"/>
        <v>0.82169811733914699</v>
      </c>
      <c r="AG72">
        <f t="shared" si="55"/>
        <v>0.26399230369844112</v>
      </c>
      <c r="AH72">
        <f t="shared" si="55"/>
        <v>0.23978030878803097</v>
      </c>
      <c r="AI72">
        <f t="shared" si="55"/>
        <v>1.1866109505388056</v>
      </c>
      <c r="AJ72">
        <f t="shared" si="55"/>
        <v>0.21654667799390837</v>
      </c>
      <c r="AK72">
        <f t="shared" si="55"/>
        <v>1.0599314619542333</v>
      </c>
      <c r="AL72">
        <f t="shared" si="55"/>
        <v>0.73162781670348553</v>
      </c>
      <c r="AM72">
        <f t="shared" si="55"/>
        <v>4.1004751649045605</v>
      </c>
      <c r="AN72">
        <f t="shared" si="55"/>
        <v>0.83091593965190247</v>
      </c>
      <c r="AO72">
        <f t="shared" si="55"/>
        <v>0.27499665718268185</v>
      </c>
      <c r="AP72">
        <f t="shared" si="55"/>
        <v>0.37738187575773285</v>
      </c>
      <c r="AQ72">
        <f t="shared" si="55"/>
        <v>1.1690552819296143</v>
      </c>
      <c r="AR72">
        <f t="shared" si="55"/>
        <v>0.40692194815391458</v>
      </c>
      <c r="AS72">
        <f t="shared" si="55"/>
        <v>0.95683403069276451</v>
      </c>
      <c r="AT72">
        <f t="shared" si="55"/>
        <v>0.35836962869929351</v>
      </c>
      <c r="AU72">
        <f t="shared" si="55"/>
        <v>0.92102648250066788</v>
      </c>
      <c r="AV72">
        <f t="shared" si="55"/>
        <v>0.48980256228662578</v>
      </c>
      <c r="AW72">
        <f t="shared" si="55"/>
        <v>0.24629167727763146</v>
      </c>
      <c r="AX72">
        <f t="shared" si="55"/>
        <v>0.36688126378606056</v>
      </c>
      <c r="AY72">
        <f t="shared" si="55"/>
        <v>0.43737079663211847</v>
      </c>
      <c r="AZ72">
        <f t="shared" si="55"/>
        <v>0.26601098846681448</v>
      </c>
      <c r="BA72">
        <f t="shared" si="55"/>
        <v>0.40434352840703625</v>
      </c>
      <c r="BB72">
        <f t="shared" si="55"/>
        <v>0.40945156700235386</v>
      </c>
      <c r="BC72">
        <f t="shared" si="55"/>
        <v>0.62034773959818124</v>
      </c>
      <c r="BD72">
        <f t="shared" si="55"/>
        <v>0.40430657135579479</v>
      </c>
      <c r="BE72">
        <f t="shared" si="55"/>
        <v>0.46550463332335346</v>
      </c>
      <c r="BF72">
        <f t="shared" si="55"/>
        <v>0.19096469069690322</v>
      </c>
      <c r="BG72">
        <f t="shared" si="55"/>
        <v>0.32943958892306135</v>
      </c>
      <c r="BH72">
        <f t="shared" si="55"/>
        <v>0.2544804115771227</v>
      </c>
      <c r="BI72">
        <f t="shared" si="55"/>
        <v>0.3154290092902135</v>
      </c>
      <c r="BJ72">
        <f t="shared" si="55"/>
        <v>0.23821001460159152</v>
      </c>
      <c r="BK72">
        <f t="shared" si="55"/>
        <v>0.33679684722857162</v>
      </c>
      <c r="BL72">
        <f t="shared" si="55"/>
        <v>0.52381121173101219</v>
      </c>
      <c r="BM72">
        <f t="shared" si="55"/>
        <v>0.77144251020750132</v>
      </c>
      <c r="BN72">
        <f t="shared" si="55"/>
        <v>0.17671741474810693</v>
      </c>
      <c r="BO72">
        <f t="shared" si="55"/>
        <v>0.3648086507766215</v>
      </c>
      <c r="BP72">
        <f t="shared" si="55"/>
        <v>0.24023751306620522</v>
      </c>
      <c r="BQ72">
        <f t="shared" si="55"/>
        <v>0.3315463601411886</v>
      </c>
      <c r="BR72">
        <f t="shared" si="55"/>
        <v>0.66175536106420907</v>
      </c>
      <c r="BS72">
        <f t="shared" si="55"/>
        <v>0.78296044763542949</v>
      </c>
      <c r="BT72">
        <f t="shared" si="55"/>
        <v>0.25866478514415514</v>
      </c>
      <c r="BU72">
        <f t="shared" si="55"/>
        <v>0.51131480966079002</v>
      </c>
      <c r="BV72">
        <f t="shared" si="55"/>
        <v>0.84755822754055632</v>
      </c>
      <c r="BW72">
        <f t="shared" si="55"/>
        <v>0.71412414773006649</v>
      </c>
      <c r="BX72">
        <f t="shared" si="55"/>
        <v>0.18121479044628119</v>
      </c>
      <c r="BY72">
        <f t="shared" si="55"/>
        <v>0.31353192057165091</v>
      </c>
      <c r="BZ72">
        <f t="shared" si="55"/>
        <v>0.53831130638469749</v>
      </c>
    </row>
    <row r="73" spans="1:78" x14ac:dyDescent="0.2">
      <c r="AC73" s="8" t="s">
        <v>115</v>
      </c>
      <c r="AD73" t="s">
        <v>143</v>
      </c>
      <c r="AG73" s="8"/>
      <c r="AH73" s="8" t="s">
        <v>115</v>
      </c>
      <c r="AI73" t="s">
        <v>143</v>
      </c>
    </row>
    <row r="74" spans="1:78" x14ac:dyDescent="0.2">
      <c r="AB74" s="8" t="s">
        <v>28</v>
      </c>
      <c r="AC74">
        <f>AVERAGE(AC72:AG72)</f>
        <v>0.47993473961472272</v>
      </c>
      <c r="AD74">
        <f>AVERAGE(AC71:AG71)</f>
        <v>0.19793899705919135</v>
      </c>
      <c r="AG74" s="8" t="s">
        <v>33</v>
      </c>
      <c r="AH74">
        <f>AVERAGE(BB72:BF72)</f>
        <v>0.41811504039531727</v>
      </c>
      <c r="AI74">
        <f>AVERAGE(BB71:BF71)</f>
        <v>0.19149450051663922</v>
      </c>
    </row>
    <row r="75" spans="1:78" x14ac:dyDescent="0.2">
      <c r="AB75" s="8" t="s">
        <v>29</v>
      </c>
      <c r="AC75">
        <f>AVERAGE(AH72:AL72)</f>
        <v>0.68689944319569274</v>
      </c>
      <c r="AD75">
        <f>AVERAGE(AH71:AL71)</f>
        <v>0.33456249628383411</v>
      </c>
      <c r="AG75" s="8" t="s">
        <v>34</v>
      </c>
      <c r="AH75">
        <f>AVERAGE(BG72:BK72)</f>
        <v>0.29487117432411214</v>
      </c>
      <c r="AI75">
        <f>AVERAGE(BG71:BK71)</f>
        <v>0.1330994956858837</v>
      </c>
    </row>
    <row r="76" spans="1:78" x14ac:dyDescent="0.2">
      <c r="AB76" s="8" t="s">
        <v>30</v>
      </c>
      <c r="AC76">
        <f>AVERAGE(AM72:AQ72)</f>
        <v>1.3505649838852982</v>
      </c>
      <c r="AD76">
        <f>AVERAGE(AM71:AQ71)</f>
        <v>0.71671278994214926</v>
      </c>
      <c r="AG76" s="8" t="s">
        <v>35</v>
      </c>
      <c r="AH76">
        <f>AVERAGE(BL72:BP72)</f>
        <v>0.41540346010588947</v>
      </c>
      <c r="AI76">
        <f>AVERAGE(BL71:BP71)</f>
        <v>0.21301374026817185</v>
      </c>
    </row>
    <row r="77" spans="1:78" x14ac:dyDescent="0.2">
      <c r="AB77" s="8" t="s">
        <v>31</v>
      </c>
      <c r="AC77">
        <f>AVERAGE(AR72:AV72)</f>
        <v>0.62659093046665326</v>
      </c>
      <c r="AD77">
        <f>AVERAGE(AR71:AV71)</f>
        <v>0.29773069274953912</v>
      </c>
      <c r="AG77" s="8" t="s">
        <v>36</v>
      </c>
      <c r="AH77">
        <f>AVERAGE(BQ72:BU72)</f>
        <v>0.50924835272915447</v>
      </c>
      <c r="AI77">
        <f>AVERAGE(BQ71:BU71)</f>
        <v>0.27258276208772614</v>
      </c>
    </row>
    <row r="78" spans="1:78" x14ac:dyDescent="0.2">
      <c r="AB78" s="8" t="s">
        <v>32</v>
      </c>
      <c r="AC78">
        <f>AVERAGE(AW72:BA72)</f>
        <v>0.34417965091393221</v>
      </c>
      <c r="AD78">
        <f>AVERAGE(AW71:BA71)</f>
        <v>0.12888965089497403</v>
      </c>
      <c r="AG78" s="8" t="s">
        <v>37</v>
      </c>
      <c r="AH78">
        <f>AVERAGE(BV72:BZ72)</f>
        <v>0.51894807853465041</v>
      </c>
      <c r="AI78">
        <f>AVERAGE(BV71:BZ71)</f>
        <v>0.27693858742775296</v>
      </c>
    </row>
  </sheetData>
  <conditionalFormatting sqref="D1">
    <cfRule type="duplicateValues" dxfId="37" priority="47"/>
    <cfRule type="duplicateValues" dxfId="36" priority="46"/>
  </conditionalFormatting>
  <conditionalFormatting sqref="D2">
    <cfRule type="duplicateValues" dxfId="35" priority="49"/>
  </conditionalFormatting>
  <conditionalFormatting sqref="D3:D10">
    <cfRule type="duplicateValues" dxfId="34" priority="50"/>
  </conditionalFormatting>
  <conditionalFormatting sqref="D11">
    <cfRule type="duplicateValues" dxfId="33" priority="37"/>
  </conditionalFormatting>
  <conditionalFormatting sqref="D12">
    <cfRule type="duplicateValues" dxfId="32" priority="36"/>
  </conditionalFormatting>
  <conditionalFormatting sqref="D13">
    <cfRule type="duplicateValues" dxfId="31" priority="35"/>
  </conditionalFormatting>
  <conditionalFormatting sqref="D14">
    <cfRule type="duplicateValues" dxfId="30" priority="34"/>
  </conditionalFormatting>
  <conditionalFormatting sqref="D16:D23">
    <cfRule type="duplicateValues" dxfId="29" priority="12"/>
  </conditionalFormatting>
  <conditionalFormatting sqref="D24">
    <cfRule type="duplicateValues" dxfId="28" priority="11"/>
  </conditionalFormatting>
  <conditionalFormatting sqref="D25">
    <cfRule type="duplicateValues" dxfId="27" priority="10"/>
  </conditionalFormatting>
  <conditionalFormatting sqref="D26">
    <cfRule type="duplicateValues" dxfId="26" priority="9"/>
  </conditionalFormatting>
  <conditionalFormatting sqref="D27">
    <cfRule type="duplicateValues" dxfId="25" priority="8"/>
  </conditionalFormatting>
  <conditionalFormatting sqref="D54">
    <cfRule type="duplicateValues" dxfId="24" priority="29"/>
  </conditionalFormatting>
  <conditionalFormatting sqref="D55">
    <cfRule type="duplicateValues" dxfId="23" priority="20"/>
  </conditionalFormatting>
  <conditionalFormatting sqref="D56">
    <cfRule type="duplicateValues" dxfId="22" priority="24"/>
  </conditionalFormatting>
  <conditionalFormatting sqref="D57:D59 D61">
    <cfRule type="duplicateValues" dxfId="21" priority="54"/>
  </conditionalFormatting>
  <conditionalFormatting sqref="D60">
    <cfRule type="duplicateValues" dxfId="20" priority="14"/>
  </conditionalFormatting>
  <conditionalFormatting sqref="D63">
    <cfRule type="duplicateValues" dxfId="19" priority="5"/>
  </conditionalFormatting>
  <conditionalFormatting sqref="D64">
    <cfRule type="duplicateValues" dxfId="18" priority="2"/>
  </conditionalFormatting>
  <conditionalFormatting sqref="D65">
    <cfRule type="duplicateValues" dxfId="17" priority="4"/>
  </conditionalFormatting>
  <conditionalFormatting sqref="D66:D68 D70:D71">
    <cfRule type="duplicateValues" dxfId="16" priority="6"/>
  </conditionalFormatting>
  <conditionalFormatting sqref="D69">
    <cfRule type="duplicateValues" dxfId="15" priority="1"/>
  </conditionalFormatting>
  <conditionalFormatting sqref="E1">
    <cfRule type="duplicateValues" dxfId="14" priority="44"/>
    <cfRule type="duplicateValues" dxfId="13" priority="45"/>
  </conditionalFormatting>
  <conditionalFormatting sqref="E2">
    <cfRule type="duplicateValues" dxfId="12" priority="48"/>
  </conditionalFormatting>
  <conditionalFormatting sqref="E3:E10">
    <cfRule type="duplicateValues" dxfId="11" priority="51"/>
  </conditionalFormatting>
  <conditionalFormatting sqref="E16:E23">
    <cfRule type="duplicateValues" dxfId="10" priority="13"/>
  </conditionalFormatting>
  <conditionalFormatting sqref="E55">
    <cfRule type="duplicateValues" dxfId="9" priority="21"/>
  </conditionalFormatting>
  <conditionalFormatting sqref="E57:E59 E61">
    <cfRule type="duplicateValues" dxfId="8" priority="55"/>
  </conditionalFormatting>
  <conditionalFormatting sqref="E64">
    <cfRule type="duplicateValues" dxfId="7" priority="3"/>
  </conditionalFormatting>
  <conditionalFormatting sqref="E66:E68 E70:E71">
    <cfRule type="duplicateValues" dxfId="6" priority="7"/>
  </conditionalFormatting>
  <conditionalFormatting sqref="U3:X10">
    <cfRule type="colorScale" priority="5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11:X14">
    <cfRule type="colorScale" priority="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54:X54"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55:X55">
    <cfRule type="colorScale" priority="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56:X56"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57:X59 U61:X61">
    <cfRule type="colorScale" priority="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60:X60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1:AB1">
    <cfRule type="cellIs" dxfId="5" priority="43" operator="lessThan">
      <formula>0.05</formula>
    </cfRule>
  </conditionalFormatting>
  <conditionalFormatting sqref="Y3:AB14">
    <cfRule type="cellIs" dxfId="4" priority="40" operator="lessThan">
      <formula>0.05</formula>
    </cfRule>
  </conditionalFormatting>
  <conditionalFormatting sqref="Y54:AB61">
    <cfRule type="cellIs" dxfId="3" priority="17" operator="lessThan">
      <formula>0.05</formula>
    </cfRule>
  </conditionalFormatting>
  <conditionalFormatting sqref="CA3:CD10">
    <cfRule type="colorScale" priority="5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A11:CD14">
    <cfRule type="colorScale" priority="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A54:CD54">
    <cfRule type="colorScale" priority="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A55:CD55"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A56:CD56">
    <cfRule type="colorScale" priority="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A57:CD59 CA61:CD61">
    <cfRule type="colorScale" priority="5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A60:CD60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E1:CH1">
    <cfRule type="cellIs" dxfId="2" priority="42" operator="lessThan">
      <formula>0.05</formula>
    </cfRule>
  </conditionalFormatting>
  <conditionalFormatting sqref="CE3:CH14">
    <cfRule type="cellIs" dxfId="1" priority="38" operator="lessThan">
      <formula>0.05</formula>
    </cfRule>
  </conditionalFormatting>
  <conditionalFormatting sqref="CE54:CH61">
    <cfRule type="cellIs" dxfId="0" priority="15" operator="lessThan">
      <formula>0.05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Georgia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Gaul, David A</dc:creator>
  <cp:lastModifiedBy>Leach, Damon T</cp:lastModifiedBy>
  <dcterms:created xsi:type="dcterms:W3CDTF">2025-11-25T20:04:25Z</dcterms:created>
  <dcterms:modified xsi:type="dcterms:W3CDTF">2025-12-11T02:05:43Z</dcterms:modified>
</cp:coreProperties>
</file>