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damon_leach_pnnl_gov/Documents/Desktop/MoTrPAC/Pass1B/Data/"/>
    </mc:Choice>
  </mc:AlternateContent>
  <xr:revisionPtr revIDLastSave="1" documentId="8_{0ACF71D3-A506-9640-A045-F9345C41FD2D}" xr6:coauthVersionLast="47" xr6:coauthVersionMax="47" xr10:uidLastSave="{E5747271-E717-C843-B978-C2ECCCFFB2FF}"/>
  <bookViews>
    <workbookView xWindow="-140" yWindow="6000" windowWidth="35280" windowHeight="15320" activeTab="2" xr2:uid="{3F60C69F-0617-4D99-9497-B1A0786A0D11}"/>
  </bookViews>
  <sheets>
    <sheet name="PE" sheetId="6" r:id="rId1"/>
    <sheet name="PC" sheetId="7" r:id="rId2"/>
    <sheet name="PC_PE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AD36" i="7"/>
  <c r="AD68" i="7" s="1"/>
  <c r="AE36" i="7"/>
  <c r="AE68" i="7" s="1"/>
  <c r="AF36" i="7"/>
  <c r="AF68" i="7" s="1"/>
  <c r="AG36" i="7"/>
  <c r="AG68" i="7" s="1"/>
  <c r="AH36" i="7"/>
  <c r="AH68" i="7" s="1"/>
  <c r="AI36" i="7"/>
  <c r="AI68" i="7" s="1"/>
  <c r="AJ36" i="7"/>
  <c r="AJ68" i="7" s="1"/>
  <c r="AK36" i="7"/>
  <c r="AK68" i="7" s="1"/>
  <c r="AL36" i="7"/>
  <c r="AL68" i="7" s="1"/>
  <c r="AM36" i="7"/>
  <c r="AM68" i="7" s="1"/>
  <c r="AN36" i="7"/>
  <c r="AN68" i="7" s="1"/>
  <c r="AO36" i="7"/>
  <c r="AO68" i="7" s="1"/>
  <c r="AP36" i="7"/>
  <c r="AP68" i="7" s="1"/>
  <c r="AQ36" i="7"/>
  <c r="AQ68" i="7" s="1"/>
  <c r="AR36" i="7"/>
  <c r="AR68" i="7" s="1"/>
  <c r="AS36" i="7"/>
  <c r="AS68" i="7" s="1"/>
  <c r="AT36" i="7"/>
  <c r="AT68" i="7" s="1"/>
  <c r="AU36" i="7"/>
  <c r="AU68" i="7" s="1"/>
  <c r="AV36" i="7"/>
  <c r="AV68" i="7" s="1"/>
  <c r="AW36" i="7"/>
  <c r="AW68" i="7" s="1"/>
  <c r="AX36" i="7"/>
  <c r="AX68" i="7" s="1"/>
  <c r="AY36" i="7"/>
  <c r="AY68" i="7" s="1"/>
  <c r="AZ36" i="7"/>
  <c r="AZ68" i="7" s="1"/>
  <c r="BA36" i="7"/>
  <c r="BA68" i="7" s="1"/>
  <c r="BB36" i="7"/>
  <c r="BB68" i="7" s="1"/>
  <c r="BC36" i="7"/>
  <c r="BC68" i="7" s="1"/>
  <c r="BD36" i="7"/>
  <c r="BD68" i="7" s="1"/>
  <c r="BE36" i="7"/>
  <c r="BE68" i="7" s="1"/>
  <c r="BF36" i="7"/>
  <c r="BF68" i="7" s="1"/>
  <c r="BG36" i="7"/>
  <c r="BG68" i="7" s="1"/>
  <c r="BH36" i="7"/>
  <c r="BH68" i="7" s="1"/>
  <c r="BI36" i="7"/>
  <c r="BI68" i="7" s="1"/>
  <c r="BJ36" i="7"/>
  <c r="BJ68" i="7" s="1"/>
  <c r="BK36" i="7"/>
  <c r="BK68" i="7" s="1"/>
  <c r="BL36" i="7"/>
  <c r="BL68" i="7" s="1"/>
  <c r="BM36" i="7"/>
  <c r="BM68" i="7" s="1"/>
  <c r="BN36" i="7"/>
  <c r="BN68" i="7" s="1"/>
  <c r="BO36" i="7"/>
  <c r="BO68" i="7" s="1"/>
  <c r="BP36" i="7"/>
  <c r="BP68" i="7" s="1"/>
  <c r="BQ36" i="7"/>
  <c r="BQ68" i="7" s="1"/>
  <c r="BR36" i="7"/>
  <c r="BR68" i="7" s="1"/>
  <c r="BS36" i="7"/>
  <c r="BS68" i="7" s="1"/>
  <c r="BT36" i="7"/>
  <c r="BT68" i="7" s="1"/>
  <c r="BU36" i="7"/>
  <c r="BU68" i="7" s="1"/>
  <c r="BV36" i="7"/>
  <c r="BV68" i="7" s="1"/>
  <c r="BW36" i="7"/>
  <c r="BW68" i="7" s="1"/>
  <c r="BX36" i="7"/>
  <c r="BX68" i="7" s="1"/>
  <c r="BY36" i="7"/>
  <c r="BY68" i="7" s="1"/>
  <c r="BZ36" i="7"/>
  <c r="BZ68" i="7" s="1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BV42" i="7"/>
  <c r="BW42" i="7"/>
  <c r="BX42" i="7"/>
  <c r="BY42" i="7"/>
  <c r="BZ42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BX47" i="7"/>
  <c r="BY47" i="7"/>
  <c r="BZ47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BV52" i="7"/>
  <c r="BW52" i="7"/>
  <c r="BX52" i="7"/>
  <c r="BY52" i="7"/>
  <c r="BZ52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BV57" i="7"/>
  <c r="BW57" i="7"/>
  <c r="BX57" i="7"/>
  <c r="BY57" i="7"/>
  <c r="BZ57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BV62" i="7"/>
  <c r="BW62" i="7"/>
  <c r="BX62" i="7"/>
  <c r="BY62" i="7"/>
  <c r="BZ62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BV67" i="7"/>
  <c r="BW67" i="7"/>
  <c r="BX67" i="7"/>
  <c r="BY67" i="7"/>
  <c r="BZ67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36" i="7"/>
  <c r="AC68" i="7" s="1"/>
  <c r="AD26" i="6"/>
  <c r="AD48" i="6" s="1"/>
  <c r="AE26" i="6"/>
  <c r="AE48" i="6" s="1"/>
  <c r="AF26" i="6"/>
  <c r="AF48" i="6" s="1"/>
  <c r="AG26" i="6"/>
  <c r="AG48" i="6" s="1"/>
  <c r="AH26" i="6"/>
  <c r="AH48" i="6" s="1"/>
  <c r="AI26" i="6"/>
  <c r="AI48" i="6" s="1"/>
  <c r="AJ26" i="6"/>
  <c r="AJ48" i="6" s="1"/>
  <c r="AK26" i="6"/>
  <c r="AK48" i="6" s="1"/>
  <c r="AL26" i="6"/>
  <c r="AL48" i="6" s="1"/>
  <c r="AM26" i="6"/>
  <c r="AM48" i="6" s="1"/>
  <c r="AN26" i="6"/>
  <c r="AN48" i="6" s="1"/>
  <c r="AO26" i="6"/>
  <c r="AO48" i="6" s="1"/>
  <c r="AP26" i="6"/>
  <c r="AP48" i="6" s="1"/>
  <c r="AQ26" i="6"/>
  <c r="AQ48" i="6" s="1"/>
  <c r="AR26" i="6"/>
  <c r="AR48" i="6" s="1"/>
  <c r="AS26" i="6"/>
  <c r="AS48" i="6" s="1"/>
  <c r="AT26" i="6"/>
  <c r="AT48" i="6" s="1"/>
  <c r="AU26" i="6"/>
  <c r="AU48" i="6" s="1"/>
  <c r="AV26" i="6"/>
  <c r="AV48" i="6" s="1"/>
  <c r="AW26" i="6"/>
  <c r="AW48" i="6" s="1"/>
  <c r="AX26" i="6"/>
  <c r="AX48" i="6" s="1"/>
  <c r="AY26" i="6"/>
  <c r="AY48" i="6" s="1"/>
  <c r="AZ26" i="6"/>
  <c r="AZ48" i="6" s="1"/>
  <c r="BA26" i="6"/>
  <c r="BA48" i="6" s="1"/>
  <c r="BB26" i="6"/>
  <c r="BB48" i="6" s="1"/>
  <c r="BC26" i="6"/>
  <c r="BC48" i="6" s="1"/>
  <c r="BD26" i="6"/>
  <c r="BD48" i="6" s="1"/>
  <c r="BE26" i="6"/>
  <c r="BE48" i="6" s="1"/>
  <c r="BF26" i="6"/>
  <c r="BF48" i="6" s="1"/>
  <c r="BG26" i="6"/>
  <c r="BH26" i="6"/>
  <c r="BH48" i="6" s="1"/>
  <c r="BI26" i="6"/>
  <c r="BI48" i="6" s="1"/>
  <c r="BJ26" i="6"/>
  <c r="BJ48" i="6" s="1"/>
  <c r="BK26" i="6"/>
  <c r="BK48" i="6" s="1"/>
  <c r="BL26" i="6"/>
  <c r="BL48" i="6" s="1"/>
  <c r="BM26" i="6"/>
  <c r="BM48" i="6" s="1"/>
  <c r="BN26" i="6"/>
  <c r="BN48" i="6" s="1"/>
  <c r="BO26" i="6"/>
  <c r="BO48" i="6" s="1"/>
  <c r="BP26" i="6"/>
  <c r="BP48" i="6" s="1"/>
  <c r="BQ26" i="6"/>
  <c r="BQ48" i="6" s="1"/>
  <c r="BR26" i="6"/>
  <c r="BR48" i="6" s="1"/>
  <c r="BS26" i="6"/>
  <c r="BS48" i="6" s="1"/>
  <c r="BT26" i="6"/>
  <c r="BT48" i="6" s="1"/>
  <c r="BU26" i="6"/>
  <c r="BU48" i="6" s="1"/>
  <c r="BV26" i="6"/>
  <c r="BV48" i="6" s="1"/>
  <c r="BW26" i="6"/>
  <c r="BW48" i="6" s="1"/>
  <c r="BX26" i="6"/>
  <c r="BX48" i="6" s="1"/>
  <c r="BY26" i="6"/>
  <c r="BY48" i="6" s="1"/>
  <c r="BZ26" i="6"/>
  <c r="BZ48" i="6" s="1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G48" i="6" s="1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AC27" i="6"/>
  <c r="AC48" i="6" s="1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26" i="6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B6" i="8"/>
  <c r="B7" i="8"/>
  <c r="D7" i="8" s="1"/>
  <c r="B8" i="8"/>
  <c r="D8" i="8" s="1"/>
  <c r="B9" i="8"/>
  <c r="D9" i="8" s="1"/>
  <c r="B10" i="8"/>
  <c r="D10" i="8" s="1"/>
  <c r="B12" i="8"/>
  <c r="B13" i="8"/>
  <c r="D13" i="8" s="1"/>
  <c r="B14" i="8"/>
  <c r="D14" i="8" s="1"/>
  <c r="B15" i="8"/>
  <c r="D15" i="8" s="1"/>
  <c r="B16" i="8"/>
  <c r="D16" i="8" s="1"/>
  <c r="CH34" i="7"/>
  <c r="CG34" i="7"/>
  <c r="CF34" i="7"/>
  <c r="CE34" i="7"/>
  <c r="CD34" i="7"/>
  <c r="CC34" i="7"/>
  <c r="CB34" i="7"/>
  <c r="CA34" i="7"/>
  <c r="AB34" i="7"/>
  <c r="AA34" i="7"/>
  <c r="Z34" i="7"/>
  <c r="Y34" i="7"/>
  <c r="X34" i="7"/>
  <c r="W34" i="7"/>
  <c r="V34" i="7"/>
  <c r="U34" i="7"/>
  <c r="CH33" i="7"/>
  <c r="CG33" i="7"/>
  <c r="CF33" i="7"/>
  <c r="CE33" i="7"/>
  <c r="CD33" i="7"/>
  <c r="CC33" i="7"/>
  <c r="CB33" i="7"/>
  <c r="CA33" i="7"/>
  <c r="AB33" i="7"/>
  <c r="AA33" i="7"/>
  <c r="Z33" i="7"/>
  <c r="Y33" i="7"/>
  <c r="X33" i="7"/>
  <c r="W33" i="7"/>
  <c r="V33" i="7"/>
  <c r="U33" i="7"/>
  <c r="CH32" i="7"/>
  <c r="CG32" i="7"/>
  <c r="CF32" i="7"/>
  <c r="CE32" i="7"/>
  <c r="CD32" i="7"/>
  <c r="CC32" i="7"/>
  <c r="CB32" i="7"/>
  <c r="CA32" i="7"/>
  <c r="AB32" i="7"/>
  <c r="AA32" i="7"/>
  <c r="Z32" i="7"/>
  <c r="Y32" i="7"/>
  <c r="X32" i="7"/>
  <c r="W32" i="7"/>
  <c r="V32" i="7"/>
  <c r="U32" i="7"/>
  <c r="CH31" i="7"/>
  <c r="CG31" i="7"/>
  <c r="CF31" i="7"/>
  <c r="CE31" i="7"/>
  <c r="CD31" i="7"/>
  <c r="CC31" i="7"/>
  <c r="CB31" i="7"/>
  <c r="CA31" i="7"/>
  <c r="AB31" i="7"/>
  <c r="AA31" i="7"/>
  <c r="Z31" i="7"/>
  <c r="Y31" i="7"/>
  <c r="X31" i="7"/>
  <c r="W31" i="7"/>
  <c r="V31" i="7"/>
  <c r="U31" i="7"/>
  <c r="CH30" i="7"/>
  <c r="CG30" i="7"/>
  <c r="CF30" i="7"/>
  <c r="CE30" i="7"/>
  <c r="CD30" i="7"/>
  <c r="CC30" i="7"/>
  <c r="CB30" i="7"/>
  <c r="CA30" i="7"/>
  <c r="AB30" i="7"/>
  <c r="AA30" i="7"/>
  <c r="Z30" i="7"/>
  <c r="Y30" i="7"/>
  <c r="X30" i="7"/>
  <c r="W30" i="7"/>
  <c r="V30" i="7"/>
  <c r="U30" i="7"/>
  <c r="CH29" i="7"/>
  <c r="CG29" i="7"/>
  <c r="CF29" i="7"/>
  <c r="CE29" i="7"/>
  <c r="CD29" i="7"/>
  <c r="CC29" i="7"/>
  <c r="CB29" i="7"/>
  <c r="CA29" i="7"/>
  <c r="AB29" i="7"/>
  <c r="AA29" i="7"/>
  <c r="Z29" i="7"/>
  <c r="Y29" i="7"/>
  <c r="X29" i="7"/>
  <c r="W29" i="7"/>
  <c r="V29" i="7"/>
  <c r="U29" i="7"/>
  <c r="CH28" i="7"/>
  <c r="CG28" i="7"/>
  <c r="CF28" i="7"/>
  <c r="CE28" i="7"/>
  <c r="CD28" i="7"/>
  <c r="CC28" i="7"/>
  <c r="CB28" i="7"/>
  <c r="CA28" i="7"/>
  <c r="AB28" i="7"/>
  <c r="AA28" i="7"/>
  <c r="Z28" i="7"/>
  <c r="Y28" i="7"/>
  <c r="X28" i="7"/>
  <c r="W28" i="7"/>
  <c r="V28" i="7"/>
  <c r="U28" i="7"/>
  <c r="CH27" i="7"/>
  <c r="CG27" i="7"/>
  <c r="CF27" i="7"/>
  <c r="CE27" i="7"/>
  <c r="CD27" i="7"/>
  <c r="CC27" i="7"/>
  <c r="CB27" i="7"/>
  <c r="CA27" i="7"/>
  <c r="AB27" i="7"/>
  <c r="AA27" i="7"/>
  <c r="Z27" i="7"/>
  <c r="Y27" i="7"/>
  <c r="X27" i="7"/>
  <c r="W27" i="7"/>
  <c r="V27" i="7"/>
  <c r="U27" i="7"/>
  <c r="CH26" i="7"/>
  <c r="CG26" i="7"/>
  <c r="CF26" i="7"/>
  <c r="CE26" i="7"/>
  <c r="CD26" i="7"/>
  <c r="CC26" i="7"/>
  <c r="CB26" i="7"/>
  <c r="CA26" i="7"/>
  <c r="AB26" i="7"/>
  <c r="AA26" i="7"/>
  <c r="Z26" i="7"/>
  <c r="Y26" i="7"/>
  <c r="X26" i="7"/>
  <c r="W26" i="7"/>
  <c r="V26" i="7"/>
  <c r="U26" i="7"/>
  <c r="CH25" i="7"/>
  <c r="CG25" i="7"/>
  <c r="CF25" i="7"/>
  <c r="CE25" i="7"/>
  <c r="CD25" i="7"/>
  <c r="CC25" i="7"/>
  <c r="CB25" i="7"/>
  <c r="CA25" i="7"/>
  <c r="AB25" i="7"/>
  <c r="AA25" i="7"/>
  <c r="Z25" i="7"/>
  <c r="Y25" i="7"/>
  <c r="X25" i="7"/>
  <c r="W25" i="7"/>
  <c r="V25" i="7"/>
  <c r="U25" i="7"/>
  <c r="CH24" i="7"/>
  <c r="CG24" i="7"/>
  <c r="CF24" i="7"/>
  <c r="CE24" i="7"/>
  <c r="CD24" i="7"/>
  <c r="CC24" i="7"/>
  <c r="CB24" i="7"/>
  <c r="CA24" i="7"/>
  <c r="AB24" i="7"/>
  <c r="AA24" i="7"/>
  <c r="Z24" i="7"/>
  <c r="Y24" i="7"/>
  <c r="X24" i="7"/>
  <c r="W24" i="7"/>
  <c r="V24" i="7"/>
  <c r="U24" i="7"/>
  <c r="CH23" i="7"/>
  <c r="CG23" i="7"/>
  <c r="CF23" i="7"/>
  <c r="CE23" i="7"/>
  <c r="CD23" i="7"/>
  <c r="CC23" i="7"/>
  <c r="CB23" i="7"/>
  <c r="CA23" i="7"/>
  <c r="AB23" i="7"/>
  <c r="AA23" i="7"/>
  <c r="Z23" i="7"/>
  <c r="Y23" i="7"/>
  <c r="X23" i="7"/>
  <c r="W23" i="7"/>
  <c r="V23" i="7"/>
  <c r="U23" i="7"/>
  <c r="CH22" i="7"/>
  <c r="CG22" i="7"/>
  <c r="CF22" i="7"/>
  <c r="CE22" i="7"/>
  <c r="CD22" i="7"/>
  <c r="CC22" i="7"/>
  <c r="CB22" i="7"/>
  <c r="CA22" i="7"/>
  <c r="AB22" i="7"/>
  <c r="AA22" i="7"/>
  <c r="Z22" i="7"/>
  <c r="Y22" i="7"/>
  <c r="X22" i="7"/>
  <c r="W22" i="7"/>
  <c r="V22" i="7"/>
  <c r="U22" i="7"/>
  <c r="CH21" i="7"/>
  <c r="CG21" i="7"/>
  <c r="CF21" i="7"/>
  <c r="CE21" i="7"/>
  <c r="CD21" i="7"/>
  <c r="CC21" i="7"/>
  <c r="CB21" i="7"/>
  <c r="CA21" i="7"/>
  <c r="AB21" i="7"/>
  <c r="AA21" i="7"/>
  <c r="Z21" i="7"/>
  <c r="Y21" i="7"/>
  <c r="X21" i="7"/>
  <c r="W21" i="7"/>
  <c r="V21" i="7"/>
  <c r="U21" i="7"/>
  <c r="CH20" i="7"/>
  <c r="CG20" i="7"/>
  <c r="CF20" i="7"/>
  <c r="CE20" i="7"/>
  <c r="CD20" i="7"/>
  <c r="CC20" i="7"/>
  <c r="CB20" i="7"/>
  <c r="CA20" i="7"/>
  <c r="AB20" i="7"/>
  <c r="AA20" i="7"/>
  <c r="Z20" i="7"/>
  <c r="Y20" i="7"/>
  <c r="X20" i="7"/>
  <c r="W20" i="7"/>
  <c r="V20" i="7"/>
  <c r="U20" i="7"/>
  <c r="CH19" i="7"/>
  <c r="CG19" i="7"/>
  <c r="CF19" i="7"/>
  <c r="CE19" i="7"/>
  <c r="CD19" i="7"/>
  <c r="CC19" i="7"/>
  <c r="CB19" i="7"/>
  <c r="CA19" i="7"/>
  <c r="AB19" i="7"/>
  <c r="AA19" i="7"/>
  <c r="Z19" i="7"/>
  <c r="Y19" i="7"/>
  <c r="X19" i="7"/>
  <c r="W19" i="7"/>
  <c r="V19" i="7"/>
  <c r="U19" i="7"/>
  <c r="CH18" i="7"/>
  <c r="CG18" i="7"/>
  <c r="CF18" i="7"/>
  <c r="CE18" i="7"/>
  <c r="CD18" i="7"/>
  <c r="CC18" i="7"/>
  <c r="CB18" i="7"/>
  <c r="CA18" i="7"/>
  <c r="AB18" i="7"/>
  <c r="AA18" i="7"/>
  <c r="Z18" i="7"/>
  <c r="Y18" i="7"/>
  <c r="X18" i="7"/>
  <c r="W18" i="7"/>
  <c r="V18" i="7"/>
  <c r="U18" i="7"/>
  <c r="CH17" i="7"/>
  <c r="CG17" i="7"/>
  <c r="CF17" i="7"/>
  <c r="CE17" i="7"/>
  <c r="CD17" i="7"/>
  <c r="CC17" i="7"/>
  <c r="CB17" i="7"/>
  <c r="CA17" i="7"/>
  <c r="AB17" i="7"/>
  <c r="AA17" i="7"/>
  <c r="Z17" i="7"/>
  <c r="Y17" i="7"/>
  <c r="X17" i="7"/>
  <c r="W17" i="7"/>
  <c r="V17" i="7"/>
  <c r="U17" i="7"/>
  <c r="CH16" i="7"/>
  <c r="CG16" i="7"/>
  <c r="CF16" i="7"/>
  <c r="CE16" i="7"/>
  <c r="CD16" i="7"/>
  <c r="CC16" i="7"/>
  <c r="CB16" i="7"/>
  <c r="CA16" i="7"/>
  <c r="AB16" i="7"/>
  <c r="AA16" i="7"/>
  <c r="Z16" i="7"/>
  <c r="Y16" i="7"/>
  <c r="X16" i="7"/>
  <c r="W16" i="7"/>
  <c r="V16" i="7"/>
  <c r="U16" i="7"/>
  <c r="CH15" i="7"/>
  <c r="CG15" i="7"/>
  <c r="CF15" i="7"/>
  <c r="CE15" i="7"/>
  <c r="CD15" i="7"/>
  <c r="CC15" i="7"/>
  <c r="CB15" i="7"/>
  <c r="CA15" i="7"/>
  <c r="AB15" i="7"/>
  <c r="AA15" i="7"/>
  <c r="Z15" i="7"/>
  <c r="Y15" i="7"/>
  <c r="X15" i="7"/>
  <c r="W15" i="7"/>
  <c r="V15" i="7"/>
  <c r="U15" i="7"/>
  <c r="CH14" i="7"/>
  <c r="CG14" i="7"/>
  <c r="CF14" i="7"/>
  <c r="CE14" i="7"/>
  <c r="CD14" i="7"/>
  <c r="CC14" i="7"/>
  <c r="CB14" i="7"/>
  <c r="CA14" i="7"/>
  <c r="AB14" i="7"/>
  <c r="AA14" i="7"/>
  <c r="Z14" i="7"/>
  <c r="Y14" i="7"/>
  <c r="X14" i="7"/>
  <c r="W14" i="7"/>
  <c r="V14" i="7"/>
  <c r="U14" i="7"/>
  <c r="CH13" i="7"/>
  <c r="CG13" i="7"/>
  <c r="CF13" i="7"/>
  <c r="CE13" i="7"/>
  <c r="CD13" i="7"/>
  <c r="CC13" i="7"/>
  <c r="CB13" i="7"/>
  <c r="CA13" i="7"/>
  <c r="AB13" i="7"/>
  <c r="AA13" i="7"/>
  <c r="Z13" i="7"/>
  <c r="Y13" i="7"/>
  <c r="X13" i="7"/>
  <c r="W13" i="7"/>
  <c r="V13" i="7"/>
  <c r="U13" i="7"/>
  <c r="CH12" i="7"/>
  <c r="CG12" i="7"/>
  <c r="CF12" i="7"/>
  <c r="CE12" i="7"/>
  <c r="CD12" i="7"/>
  <c r="CC12" i="7"/>
  <c r="CB12" i="7"/>
  <c r="CA12" i="7"/>
  <c r="AB12" i="7"/>
  <c r="AA12" i="7"/>
  <c r="Z12" i="7"/>
  <c r="Y12" i="7"/>
  <c r="X12" i="7"/>
  <c r="W12" i="7"/>
  <c r="V12" i="7"/>
  <c r="U12" i="7"/>
  <c r="CH11" i="7"/>
  <c r="CG11" i="7"/>
  <c r="CF11" i="7"/>
  <c r="CE11" i="7"/>
  <c r="CD11" i="7"/>
  <c r="CC11" i="7"/>
  <c r="CB11" i="7"/>
  <c r="CA11" i="7"/>
  <c r="AB11" i="7"/>
  <c r="AA11" i="7"/>
  <c r="Z11" i="7"/>
  <c r="Y11" i="7"/>
  <c r="X11" i="7"/>
  <c r="W11" i="7"/>
  <c r="V11" i="7"/>
  <c r="U11" i="7"/>
  <c r="CH10" i="7"/>
  <c r="CG10" i="7"/>
  <c r="CF10" i="7"/>
  <c r="CE10" i="7"/>
  <c r="CD10" i="7"/>
  <c r="CC10" i="7"/>
  <c r="CB10" i="7"/>
  <c r="CA10" i="7"/>
  <c r="AB10" i="7"/>
  <c r="AA10" i="7"/>
  <c r="Z10" i="7"/>
  <c r="Y10" i="7"/>
  <c r="X10" i="7"/>
  <c r="W10" i="7"/>
  <c r="V10" i="7"/>
  <c r="U10" i="7"/>
  <c r="CH9" i="7"/>
  <c r="CG9" i="7"/>
  <c r="CF9" i="7"/>
  <c r="CE9" i="7"/>
  <c r="CD9" i="7"/>
  <c r="CC9" i="7"/>
  <c r="CB9" i="7"/>
  <c r="CA9" i="7"/>
  <c r="AB9" i="7"/>
  <c r="AA9" i="7"/>
  <c r="Z9" i="7"/>
  <c r="Y9" i="7"/>
  <c r="X9" i="7"/>
  <c r="W9" i="7"/>
  <c r="V9" i="7"/>
  <c r="U9" i="7"/>
  <c r="CH8" i="7"/>
  <c r="CG8" i="7"/>
  <c r="CF8" i="7"/>
  <c r="CE8" i="7"/>
  <c r="CD8" i="7"/>
  <c r="CC8" i="7"/>
  <c r="CB8" i="7"/>
  <c r="CA8" i="7"/>
  <c r="AB8" i="7"/>
  <c r="AA8" i="7"/>
  <c r="Z8" i="7"/>
  <c r="Y8" i="7"/>
  <c r="X8" i="7"/>
  <c r="W8" i="7"/>
  <c r="V8" i="7"/>
  <c r="U8" i="7"/>
  <c r="CH7" i="7"/>
  <c r="CG7" i="7"/>
  <c r="CF7" i="7"/>
  <c r="CE7" i="7"/>
  <c r="CD7" i="7"/>
  <c r="CC7" i="7"/>
  <c r="CB7" i="7"/>
  <c r="CA7" i="7"/>
  <c r="AB7" i="7"/>
  <c r="AA7" i="7"/>
  <c r="Z7" i="7"/>
  <c r="Y7" i="7"/>
  <c r="X7" i="7"/>
  <c r="W7" i="7"/>
  <c r="V7" i="7"/>
  <c r="U7" i="7"/>
  <c r="CH6" i="7"/>
  <c r="CG6" i="7"/>
  <c r="CF6" i="7"/>
  <c r="CE6" i="7"/>
  <c r="CD6" i="7"/>
  <c r="CC6" i="7"/>
  <c r="CB6" i="7"/>
  <c r="CA6" i="7"/>
  <c r="AB6" i="7"/>
  <c r="AA6" i="7"/>
  <c r="Z6" i="7"/>
  <c r="Y6" i="7"/>
  <c r="X6" i="7"/>
  <c r="W6" i="7"/>
  <c r="V6" i="7"/>
  <c r="U6" i="7"/>
  <c r="CH5" i="7"/>
  <c r="CG5" i="7"/>
  <c r="CF5" i="7"/>
  <c r="CE5" i="7"/>
  <c r="CD5" i="7"/>
  <c r="CC5" i="7"/>
  <c r="CB5" i="7"/>
  <c r="CA5" i="7"/>
  <c r="AB5" i="7"/>
  <c r="AA5" i="7"/>
  <c r="Z5" i="7"/>
  <c r="Y5" i="7"/>
  <c r="X5" i="7"/>
  <c r="W5" i="7"/>
  <c r="V5" i="7"/>
  <c r="U5" i="7"/>
  <c r="CH4" i="7"/>
  <c r="CG4" i="7"/>
  <c r="CF4" i="7"/>
  <c r="CE4" i="7"/>
  <c r="CD4" i="7"/>
  <c r="CC4" i="7"/>
  <c r="CB4" i="7"/>
  <c r="CA4" i="7"/>
  <c r="AB4" i="7"/>
  <c r="AA4" i="7"/>
  <c r="Z4" i="7"/>
  <c r="Y4" i="7"/>
  <c r="X4" i="7"/>
  <c r="W4" i="7"/>
  <c r="V4" i="7"/>
  <c r="U4" i="7"/>
  <c r="CH3" i="7"/>
  <c r="CG3" i="7"/>
  <c r="CF3" i="7"/>
  <c r="CE3" i="7"/>
  <c r="CD3" i="7"/>
  <c r="CC3" i="7"/>
  <c r="CB3" i="7"/>
  <c r="CA3" i="7"/>
  <c r="AB3" i="7"/>
  <c r="AA3" i="7"/>
  <c r="Z3" i="7"/>
  <c r="Y3" i="7"/>
  <c r="X3" i="7"/>
  <c r="W3" i="7"/>
  <c r="V3" i="7"/>
  <c r="U3" i="7"/>
  <c r="CH2" i="7"/>
  <c r="CG2" i="7"/>
  <c r="CF2" i="7"/>
  <c r="CE2" i="7"/>
  <c r="CD2" i="7"/>
  <c r="CC2" i="7"/>
  <c r="CB2" i="7"/>
  <c r="CA2" i="7"/>
  <c r="AB2" i="7"/>
  <c r="AA2" i="7"/>
  <c r="Z2" i="7"/>
  <c r="Y2" i="7"/>
  <c r="X2" i="7"/>
  <c r="W2" i="7"/>
  <c r="V2" i="7"/>
  <c r="U2" i="7"/>
  <c r="CH24" i="6"/>
  <c r="CG24" i="6"/>
  <c r="CF24" i="6"/>
  <c r="CE24" i="6"/>
  <c r="CD24" i="6"/>
  <c r="CC24" i="6"/>
  <c r="CB24" i="6"/>
  <c r="CA24" i="6"/>
  <c r="AB24" i="6"/>
  <c r="AA24" i="6"/>
  <c r="Z24" i="6"/>
  <c r="Y24" i="6"/>
  <c r="X24" i="6"/>
  <c r="W24" i="6"/>
  <c r="V24" i="6"/>
  <c r="U24" i="6"/>
  <c r="CH23" i="6"/>
  <c r="CG23" i="6"/>
  <c r="CF23" i="6"/>
  <c r="CE23" i="6"/>
  <c r="CD23" i="6"/>
  <c r="CC23" i="6"/>
  <c r="CB23" i="6"/>
  <c r="CA23" i="6"/>
  <c r="AB23" i="6"/>
  <c r="AA23" i="6"/>
  <c r="Z23" i="6"/>
  <c r="Y23" i="6"/>
  <c r="X23" i="6"/>
  <c r="W23" i="6"/>
  <c r="V23" i="6"/>
  <c r="U23" i="6"/>
  <c r="CH22" i="6"/>
  <c r="CG22" i="6"/>
  <c r="CF22" i="6"/>
  <c r="CE22" i="6"/>
  <c r="CD22" i="6"/>
  <c r="CC22" i="6"/>
  <c r="CB22" i="6"/>
  <c r="CA22" i="6"/>
  <c r="AB22" i="6"/>
  <c r="AA22" i="6"/>
  <c r="Z22" i="6"/>
  <c r="Y22" i="6"/>
  <c r="X22" i="6"/>
  <c r="W22" i="6"/>
  <c r="V22" i="6"/>
  <c r="U22" i="6"/>
  <c r="CH21" i="6"/>
  <c r="CG21" i="6"/>
  <c r="CF21" i="6"/>
  <c r="CE21" i="6"/>
  <c r="CD21" i="6"/>
  <c r="CC21" i="6"/>
  <c r="CB21" i="6"/>
  <c r="CA21" i="6"/>
  <c r="AB21" i="6"/>
  <c r="AA21" i="6"/>
  <c r="Z21" i="6"/>
  <c r="Y21" i="6"/>
  <c r="X21" i="6"/>
  <c r="W21" i="6"/>
  <c r="V21" i="6"/>
  <c r="U21" i="6"/>
  <c r="CH20" i="6"/>
  <c r="CG20" i="6"/>
  <c r="CF20" i="6"/>
  <c r="CE20" i="6"/>
  <c r="CD20" i="6"/>
  <c r="CC20" i="6"/>
  <c r="CB20" i="6"/>
  <c r="CA20" i="6"/>
  <c r="AB20" i="6"/>
  <c r="AA20" i="6"/>
  <c r="Z20" i="6"/>
  <c r="Y20" i="6"/>
  <c r="X20" i="6"/>
  <c r="W20" i="6"/>
  <c r="V20" i="6"/>
  <c r="U20" i="6"/>
  <c r="CH19" i="6"/>
  <c r="CG19" i="6"/>
  <c r="CF19" i="6"/>
  <c r="CE19" i="6"/>
  <c r="CD19" i="6"/>
  <c r="CC19" i="6"/>
  <c r="CB19" i="6"/>
  <c r="CA19" i="6"/>
  <c r="AB19" i="6"/>
  <c r="AA19" i="6"/>
  <c r="Z19" i="6"/>
  <c r="Y19" i="6"/>
  <c r="X19" i="6"/>
  <c r="W19" i="6"/>
  <c r="V19" i="6"/>
  <c r="U19" i="6"/>
  <c r="CH18" i="6"/>
  <c r="CG18" i="6"/>
  <c r="CF18" i="6"/>
  <c r="CE18" i="6"/>
  <c r="CD18" i="6"/>
  <c r="CC18" i="6"/>
  <c r="CB18" i="6"/>
  <c r="CA18" i="6"/>
  <c r="AB18" i="6"/>
  <c r="AA18" i="6"/>
  <c r="Z18" i="6"/>
  <c r="Y18" i="6"/>
  <c r="X18" i="6"/>
  <c r="W18" i="6"/>
  <c r="V18" i="6"/>
  <c r="U18" i="6"/>
  <c r="CH17" i="6"/>
  <c r="CG17" i="6"/>
  <c r="CF17" i="6"/>
  <c r="CE17" i="6"/>
  <c r="CD17" i="6"/>
  <c r="CC17" i="6"/>
  <c r="CB17" i="6"/>
  <c r="CA17" i="6"/>
  <c r="AB17" i="6"/>
  <c r="AA17" i="6"/>
  <c r="Z17" i="6"/>
  <c r="Y17" i="6"/>
  <c r="X17" i="6"/>
  <c r="W17" i="6"/>
  <c r="V17" i="6"/>
  <c r="U17" i="6"/>
  <c r="CH16" i="6"/>
  <c r="CG16" i="6"/>
  <c r="CF16" i="6"/>
  <c r="CE16" i="6"/>
  <c r="CD16" i="6"/>
  <c r="CC16" i="6"/>
  <c r="CB16" i="6"/>
  <c r="CA16" i="6"/>
  <c r="AB16" i="6"/>
  <c r="AA16" i="6"/>
  <c r="Z16" i="6"/>
  <c r="Y16" i="6"/>
  <c r="X16" i="6"/>
  <c r="W16" i="6"/>
  <c r="V16" i="6"/>
  <c r="U16" i="6"/>
  <c r="CH15" i="6"/>
  <c r="CG15" i="6"/>
  <c r="CF15" i="6"/>
  <c r="CE15" i="6"/>
  <c r="CD15" i="6"/>
  <c r="CC15" i="6"/>
  <c r="CB15" i="6"/>
  <c r="CA15" i="6"/>
  <c r="AB15" i="6"/>
  <c r="AA15" i="6"/>
  <c r="Z15" i="6"/>
  <c r="Y15" i="6"/>
  <c r="X15" i="6"/>
  <c r="W15" i="6"/>
  <c r="V15" i="6"/>
  <c r="U15" i="6"/>
  <c r="CH14" i="6"/>
  <c r="CG14" i="6"/>
  <c r="CF14" i="6"/>
  <c r="CE14" i="6"/>
  <c r="CD14" i="6"/>
  <c r="CC14" i="6"/>
  <c r="CB14" i="6"/>
  <c r="CA14" i="6"/>
  <c r="AB14" i="6"/>
  <c r="AA14" i="6"/>
  <c r="Z14" i="6"/>
  <c r="Y14" i="6"/>
  <c r="X14" i="6"/>
  <c r="W14" i="6"/>
  <c r="V14" i="6"/>
  <c r="U14" i="6"/>
  <c r="CH13" i="6"/>
  <c r="CG13" i="6"/>
  <c r="CF13" i="6"/>
  <c r="CE13" i="6"/>
  <c r="CD13" i="6"/>
  <c r="CC13" i="6"/>
  <c r="CB13" i="6"/>
  <c r="CA13" i="6"/>
  <c r="AB13" i="6"/>
  <c r="AA13" i="6"/>
  <c r="Z13" i="6"/>
  <c r="Y13" i="6"/>
  <c r="X13" i="6"/>
  <c r="W13" i="6"/>
  <c r="V13" i="6"/>
  <c r="U13" i="6"/>
  <c r="CH12" i="6"/>
  <c r="CG12" i="6"/>
  <c r="CF12" i="6"/>
  <c r="CE12" i="6"/>
  <c r="CD12" i="6"/>
  <c r="CC12" i="6"/>
  <c r="CB12" i="6"/>
  <c r="CA12" i="6"/>
  <c r="AB12" i="6"/>
  <c r="AA12" i="6"/>
  <c r="Z12" i="6"/>
  <c r="Y12" i="6"/>
  <c r="X12" i="6"/>
  <c r="W12" i="6"/>
  <c r="V12" i="6"/>
  <c r="U12" i="6"/>
  <c r="CH11" i="6"/>
  <c r="CG11" i="6"/>
  <c r="CF11" i="6"/>
  <c r="CE11" i="6"/>
  <c r="CD11" i="6"/>
  <c r="CC11" i="6"/>
  <c r="CB11" i="6"/>
  <c r="CA11" i="6"/>
  <c r="AB11" i="6"/>
  <c r="AA11" i="6"/>
  <c r="Z11" i="6"/>
  <c r="Y11" i="6"/>
  <c r="X11" i="6"/>
  <c r="W11" i="6"/>
  <c r="V11" i="6"/>
  <c r="U11" i="6"/>
  <c r="CH10" i="6"/>
  <c r="CG10" i="6"/>
  <c r="CF10" i="6"/>
  <c r="CE10" i="6"/>
  <c r="CD10" i="6"/>
  <c r="CC10" i="6"/>
  <c r="CB10" i="6"/>
  <c r="CA10" i="6"/>
  <c r="AB10" i="6"/>
  <c r="AA10" i="6"/>
  <c r="Z10" i="6"/>
  <c r="Y10" i="6"/>
  <c r="X10" i="6"/>
  <c r="W10" i="6"/>
  <c r="V10" i="6"/>
  <c r="U10" i="6"/>
  <c r="CH9" i="6"/>
  <c r="CG9" i="6"/>
  <c r="CF9" i="6"/>
  <c r="CE9" i="6"/>
  <c r="CD9" i="6"/>
  <c r="CC9" i="6"/>
  <c r="CB9" i="6"/>
  <c r="CA9" i="6"/>
  <c r="AB9" i="6"/>
  <c r="AA9" i="6"/>
  <c r="Z9" i="6"/>
  <c r="Y9" i="6"/>
  <c r="X9" i="6"/>
  <c r="W9" i="6"/>
  <c r="V9" i="6"/>
  <c r="U9" i="6"/>
  <c r="CH8" i="6"/>
  <c r="CG8" i="6"/>
  <c r="CF8" i="6"/>
  <c r="CE8" i="6"/>
  <c r="CD8" i="6"/>
  <c r="CC8" i="6"/>
  <c r="CB8" i="6"/>
  <c r="CA8" i="6"/>
  <c r="AB8" i="6"/>
  <c r="AA8" i="6"/>
  <c r="Z8" i="6"/>
  <c r="Y8" i="6"/>
  <c r="X8" i="6"/>
  <c r="W8" i="6"/>
  <c r="V8" i="6"/>
  <c r="U8" i="6"/>
  <c r="CH7" i="6"/>
  <c r="CG7" i="6"/>
  <c r="CF7" i="6"/>
  <c r="CE7" i="6"/>
  <c r="CD7" i="6"/>
  <c r="CC7" i="6"/>
  <c r="CB7" i="6"/>
  <c r="CA7" i="6"/>
  <c r="AB7" i="6"/>
  <c r="AA7" i="6"/>
  <c r="Z7" i="6"/>
  <c r="Y7" i="6"/>
  <c r="X7" i="6"/>
  <c r="W7" i="6"/>
  <c r="V7" i="6"/>
  <c r="U7" i="6"/>
  <c r="CH6" i="6"/>
  <c r="CG6" i="6"/>
  <c r="CF6" i="6"/>
  <c r="CE6" i="6"/>
  <c r="CD6" i="6"/>
  <c r="CC6" i="6"/>
  <c r="CB6" i="6"/>
  <c r="CA6" i="6"/>
  <c r="AB6" i="6"/>
  <c r="AA6" i="6"/>
  <c r="Z6" i="6"/>
  <c r="Y6" i="6"/>
  <c r="X6" i="6"/>
  <c r="W6" i="6"/>
  <c r="V6" i="6"/>
  <c r="U6" i="6"/>
  <c r="CH5" i="6"/>
  <c r="CG5" i="6"/>
  <c r="CF5" i="6"/>
  <c r="CE5" i="6"/>
  <c r="CD5" i="6"/>
  <c r="CC5" i="6"/>
  <c r="CB5" i="6"/>
  <c r="CA5" i="6"/>
  <c r="AB5" i="6"/>
  <c r="AA5" i="6"/>
  <c r="Z5" i="6"/>
  <c r="Y5" i="6"/>
  <c r="X5" i="6"/>
  <c r="W5" i="6"/>
  <c r="V5" i="6"/>
  <c r="U5" i="6"/>
  <c r="CH4" i="6"/>
  <c r="CG4" i="6"/>
  <c r="CF4" i="6"/>
  <c r="CE4" i="6"/>
  <c r="CD4" i="6"/>
  <c r="CC4" i="6"/>
  <c r="CB4" i="6"/>
  <c r="CA4" i="6"/>
  <c r="AB4" i="6"/>
  <c r="AA4" i="6"/>
  <c r="Z4" i="6"/>
  <c r="Y4" i="6"/>
  <c r="X4" i="6"/>
  <c r="W4" i="6"/>
  <c r="V4" i="6"/>
  <c r="U4" i="6"/>
  <c r="CH3" i="6"/>
  <c r="CG3" i="6"/>
  <c r="CF3" i="6"/>
  <c r="CE3" i="6"/>
  <c r="CD3" i="6"/>
  <c r="CC3" i="6"/>
  <c r="CB3" i="6"/>
  <c r="CA3" i="6"/>
  <c r="AB3" i="6"/>
  <c r="AA3" i="6"/>
  <c r="Z3" i="6"/>
  <c r="Y3" i="6"/>
  <c r="X3" i="6"/>
  <c r="W3" i="6"/>
  <c r="V3" i="6"/>
  <c r="U3" i="6"/>
  <c r="CH2" i="6"/>
  <c r="CG2" i="6"/>
  <c r="CF2" i="6"/>
  <c r="CE2" i="6"/>
  <c r="CD2" i="6"/>
  <c r="CC2" i="6"/>
  <c r="CB2" i="6"/>
  <c r="CA2" i="6"/>
  <c r="AB2" i="6"/>
  <c r="AA2" i="6"/>
  <c r="Z2" i="6"/>
  <c r="Y2" i="6"/>
  <c r="X2" i="6"/>
  <c r="W2" i="6"/>
  <c r="V2" i="6"/>
  <c r="U2" i="6"/>
</calcChain>
</file>

<file path=xl/sharedStrings.xml><?xml version="1.0" encoding="utf-8"?>
<sst xmlns="http://schemas.openxmlformats.org/spreadsheetml/2006/main" count="1264" uniqueCount="313">
  <si>
    <t>PE sum</t>
  </si>
  <si>
    <t>[M-H]-</t>
  </si>
  <si>
    <t>not found</t>
  </si>
  <si>
    <t>PE_Muscle_RP_N</t>
  </si>
  <si>
    <t>C45 H74 N O8 P</t>
  </si>
  <si>
    <t>PE(40:8)&gt;PE(18:2_22:6)</t>
  </si>
  <si>
    <t>PE(40:8)&gt;PE(18:2_22:6)_feature1</t>
  </si>
  <si>
    <t>PE(18:2_22:6)</t>
  </si>
  <si>
    <t>RP_N</t>
  </si>
  <si>
    <t>C45 H76 N O8 P</t>
  </si>
  <si>
    <t>PE(40:7)&gt;PE(18:2_22:5)</t>
  </si>
  <si>
    <t>PE(40:7)&gt;PE(18:2_22:5)_feature1</t>
  </si>
  <si>
    <t>PE(18:2_22:5)_lp_a</t>
  </si>
  <si>
    <t>C45 H78 N O8 P</t>
  </si>
  <si>
    <t>PE(40:6)&gt;PE(18:0_22:6)</t>
  </si>
  <si>
    <t>PE(40:6)&gt;PE(18:0_22:6)_feature2</t>
  </si>
  <si>
    <t>PE(18:0_22:6)_lp_b</t>
  </si>
  <si>
    <t>C45 H80 N O8 P</t>
  </si>
  <si>
    <t>PE(40:5)&gt;PE(18:0_22:5)</t>
  </si>
  <si>
    <t>PE(40:5)&gt;PE(18:0_22:5)_feature3</t>
  </si>
  <si>
    <t>PE(18:0_22:5)_lp_c</t>
  </si>
  <si>
    <t>PE(40:5)&gt;PE(18:0_22:5)_feature4</t>
  </si>
  <si>
    <t>PE(18:0_22:5)_lp_d</t>
  </si>
  <si>
    <t>C45 H82 N O8 P</t>
  </si>
  <si>
    <t>PE(40:4)&gt;PE(18:0_22:4)</t>
  </si>
  <si>
    <t>PE(40:4)&gt;PE(18:0_22:4)_feature2</t>
  </si>
  <si>
    <t>PE(18:0_22:4)_lp_b</t>
  </si>
  <si>
    <t>C44 H76 N O8 P</t>
  </si>
  <si>
    <t>PE(39:6)&gt;PE(17:0_22:6)</t>
  </si>
  <si>
    <t>PE(39:6)&gt;PE(17:0_22:6)_feature2</t>
  </si>
  <si>
    <t>PE(17:0_22:6)_lp_b</t>
  </si>
  <si>
    <t>C43 H74 N O8 P</t>
  </si>
  <si>
    <t>PE(38:6)&gt;PE(18:2_20:4)</t>
  </si>
  <si>
    <t>PE(38:6)&gt;PE(18:2_20:4)_feature2</t>
  </si>
  <si>
    <t>PE(18:2_20:4)_lp_b</t>
  </si>
  <si>
    <t>PE(38:6)&gt;PE(16:0_22:6)</t>
  </si>
  <si>
    <t>PE(38:6)&gt;PE(16:0_22:6)_feature3</t>
  </si>
  <si>
    <t>PE(16:0_22:6)_lp_c</t>
  </si>
  <si>
    <t>C43 H76 N O8 P</t>
  </si>
  <si>
    <t>PE(38:5)&gt;PE(18:0_20:5)</t>
  </si>
  <si>
    <t>PE(38:5)&gt;PE(18:0_20:5)_feature6</t>
  </si>
  <si>
    <t>PE(38:5)_lp_f</t>
  </si>
  <si>
    <t>PE(38:5)&gt;PE(16:0_22:5)_and_PE(18:1_20:4)</t>
  </si>
  <si>
    <t>PE(38:5)&gt;PE(16:0_22:5)_and_PE(18:1_20:4)_feature3</t>
  </si>
  <si>
    <t>PE(38:5)_lp_c</t>
  </si>
  <si>
    <t>C43 H78 N O8 P</t>
  </si>
  <si>
    <t>PE(38:4)&gt;PE(18:0_20:4)</t>
  </si>
  <si>
    <t>PE(38:4)&gt;PE(18:0_20:4)_feature5</t>
  </si>
  <si>
    <t>PE(18:0_20:4)_lp_e</t>
  </si>
  <si>
    <t>C43 H80 N O8 P</t>
  </si>
  <si>
    <t>PE(38:3)&gt;PE(18:0_20:3)</t>
  </si>
  <si>
    <t>PE(38:3)&gt;PE(18:0_20:3)_feature3</t>
  </si>
  <si>
    <t>PE(18:0_20:3)_lp_c</t>
  </si>
  <si>
    <t>C42 H76 N O8 P</t>
  </si>
  <si>
    <t>PE(37:4)&gt;PE(17:0_20:4)</t>
  </si>
  <si>
    <t>PE(37:4)&gt;PE(17:0_20:4)_feature2</t>
  </si>
  <si>
    <t>PE(17:0_20:4)_lp_b</t>
  </si>
  <si>
    <t>C41 H74 N O8 P</t>
  </si>
  <si>
    <t>PE(36:4)&gt;PE(18:2/18:2)</t>
  </si>
  <si>
    <t>PE(36:4)&gt;PE(18:2/18:2)_feature1</t>
  </si>
  <si>
    <t>PE(18:2/18:2)_lp_a</t>
  </si>
  <si>
    <t>PE(36:4)&gt;PE(16:0_20:4)</t>
  </si>
  <si>
    <t>PE(36:4)&gt;PE(16:0_20:4)_feature3</t>
  </si>
  <si>
    <t>PE(16:0_20:4)_lp_c</t>
  </si>
  <si>
    <t>C41 H76 N O8 P</t>
  </si>
  <si>
    <t>PE(36:3)&gt;PE(18:1_18:2)</t>
  </si>
  <si>
    <t>PE(36:3)&gt;PE(18:1_18:2)_feature1</t>
  </si>
  <si>
    <t>PE(18:1_18:2)_lp_a</t>
  </si>
  <si>
    <t>C41 H78 N O8 P</t>
  </si>
  <si>
    <t>PE(36:2)&gt;PE(18:1/18:1)</t>
  </si>
  <si>
    <t>PE(36:2)&gt;PE(18:1/18:1)_feature2</t>
  </si>
  <si>
    <t>PE(18:1/18:1)_lp_b</t>
  </si>
  <si>
    <t>PE(36:2)&gt;PE(18:0_18:2)</t>
  </si>
  <si>
    <t>PE(36:2)&gt;PE(18:0_18:2)_feature2</t>
  </si>
  <si>
    <t>PE(18:0_18:2)_lp_b</t>
  </si>
  <si>
    <t>C41 H80 N O8 P</t>
  </si>
  <si>
    <t>PE(36:1)&gt;PE(18:0_18:1)</t>
  </si>
  <si>
    <t>PE(36:1)&gt;PE(18:0_18:1)_feature3</t>
  </si>
  <si>
    <t>PE(18:0_18:1)_lp_c</t>
  </si>
  <si>
    <t>C39 H74 N O8 P</t>
  </si>
  <si>
    <t>PE(34:2)&gt;PE(16:0_18:2)</t>
  </si>
  <si>
    <t>PE(34:2)&gt;PE(16:0_18:2)_feature2</t>
  </si>
  <si>
    <t>PE(16:0_18:2)_lp_b</t>
  </si>
  <si>
    <t>C39 H76 N O8 P</t>
  </si>
  <si>
    <t>PE(34:1)&gt;PE(16:0_18:1)</t>
  </si>
  <si>
    <t>PE(34:1)&gt;PE(16:0_18:1)_feature1</t>
  </si>
  <si>
    <t>PE(16:0_18:1)_lp_a</t>
  </si>
  <si>
    <t>NA</t>
  </si>
  <si>
    <t>C38 H67 D7 N O8 P</t>
  </si>
  <si>
    <t>GTInternalStandard_PE(33:1(d7))&gt;PE(15:0/18:1(9z,d7))_[istd]</t>
  </si>
  <si>
    <t>GTInternalStandard_PE(33:1(d7))&gt;PE(15:0/18:1(9z,d7))_feature1</t>
  </si>
  <si>
    <t>GTInternalStandard_PE(33:1(d7))&gt;PE(15:0/18:1(9z,d7))_[iSTD]</t>
  </si>
  <si>
    <t>SampleBlank06</t>
  </si>
  <si>
    <t>SampleBlank05</t>
  </si>
  <si>
    <t>SampleBlank04</t>
  </si>
  <si>
    <t>SampleBlank03</t>
  </si>
  <si>
    <t>SampleBlank02</t>
  </si>
  <si>
    <t>SampleBlank01</t>
  </si>
  <si>
    <t>QC08</t>
  </si>
  <si>
    <t>QC07</t>
  </si>
  <si>
    <t>QC06</t>
  </si>
  <si>
    <t>QC05</t>
  </si>
  <si>
    <t>QC04</t>
  </si>
  <si>
    <t>QC03</t>
  </si>
  <si>
    <t>QC02</t>
  </si>
  <si>
    <t>QC01</t>
  </si>
  <si>
    <t>SED_Reference_Gastrocnemius02</t>
  </si>
  <si>
    <t>SED_Reference_Gastrocnemius</t>
  </si>
  <si>
    <t>IPE_Reference_Gastrocnemius02</t>
  </si>
  <si>
    <t>IPE_Reference_Gastrocnemius</t>
  </si>
  <si>
    <t>M8 ttest</t>
  </si>
  <si>
    <t>M4 ttest</t>
  </si>
  <si>
    <t>M2 ttest</t>
  </si>
  <si>
    <t>M1 ttest</t>
  </si>
  <si>
    <t>M8</t>
  </si>
  <si>
    <t>M4</t>
  </si>
  <si>
    <t>M2</t>
  </si>
  <si>
    <t>M1</t>
  </si>
  <si>
    <t>M_T8</t>
  </si>
  <si>
    <t>M_T4</t>
  </si>
  <si>
    <t>M_T2</t>
  </si>
  <si>
    <t>M_T1</t>
  </si>
  <si>
    <t>M_C</t>
  </si>
  <si>
    <t>F_T8</t>
  </si>
  <si>
    <t>F_T4</t>
  </si>
  <si>
    <t>F_T2</t>
  </si>
  <si>
    <t>F_T1</t>
  </si>
  <si>
    <t>F_C</t>
  </si>
  <si>
    <t>F8 ttest</t>
  </si>
  <si>
    <t>F4 ttest</t>
  </si>
  <si>
    <t>F2 ttest</t>
  </si>
  <si>
    <t>F1 ttest</t>
  </si>
  <si>
    <t>F8</t>
  </si>
  <si>
    <t>F4</t>
  </si>
  <si>
    <t>F2</t>
  </si>
  <si>
    <t>F1</t>
  </si>
  <si>
    <t>Main Ion Annotation</t>
  </si>
  <si>
    <t>Text check</t>
  </si>
  <si>
    <t># Adducts</t>
  </si>
  <si>
    <t>RT lookup</t>
  </si>
  <si>
    <t>RT Standard</t>
  </si>
  <si>
    <t>RT_Index</t>
  </si>
  <si>
    <t>RT[min]rounded</t>
  </si>
  <si>
    <t>RT [min]</t>
  </si>
  <si>
    <t>m/z</t>
  </si>
  <si>
    <t>MolecularWeight_rounded</t>
  </si>
  <si>
    <t>Molecular Weight</t>
  </si>
  <si>
    <t>Formula</t>
  </si>
  <si>
    <t>Confidence Level</t>
  </si>
  <si>
    <t>Name_CD</t>
  </si>
  <si>
    <t>GT_Metabolite_Name</t>
  </si>
  <si>
    <t>metabolite_name</t>
  </si>
  <si>
    <t>refmet_name</t>
  </si>
  <si>
    <t>LC_Mode</t>
  </si>
  <si>
    <t>Feature#</t>
  </si>
  <si>
    <t>RowID</t>
  </si>
  <si>
    <t>PC Sum</t>
  </si>
  <si>
    <t>PC_Muscle_RP_N</t>
  </si>
  <si>
    <t>C49 H82 N O10 P</t>
  </si>
  <si>
    <t>PC(40:8)&gt;PC(20:4_20:4)  M + H2CO2</t>
  </si>
  <si>
    <t>PC(40:8)&gt;PC(20:4_20:4) _M+H2CO2</t>
  </si>
  <si>
    <t>PC(40:8)&gt;PC(20:4_20:4) _M+H2CO2_feature1</t>
  </si>
  <si>
    <t>PC(20:4/20:4)</t>
  </si>
  <si>
    <t>C49 H84 N O10 P</t>
  </si>
  <si>
    <t>PC(40:7)&gt;PC(18:2_22:5) M + H2CO2</t>
  </si>
  <si>
    <t>PC(40:7)&gt;PC(18:2_22:5)_M+H2CO2</t>
  </si>
  <si>
    <t>PC(40:7)&gt;PC(18:2_22:5)_M+H2CO2_feature1</t>
  </si>
  <si>
    <t>PC(40:7)_lp_a</t>
  </si>
  <si>
    <t>PC(40:7)&gt;PC(18:1_22:6)  M + H2CO2</t>
  </si>
  <si>
    <t>PC(40:7)&gt;PC(18:1_22:6) _M+H2CO2</t>
  </si>
  <si>
    <t>PC(40:7)&gt;PC(18:1_22:6) _M+H2CO2_feature3</t>
  </si>
  <si>
    <t>PC(18:1_22:6)_lp_c</t>
  </si>
  <si>
    <t>C49 H86 N O10 P</t>
  </si>
  <si>
    <t>PC(40:6)&gt;PC(18:0_22:6)  M + H2CO2</t>
  </si>
  <si>
    <t>PC(40:6)&gt;PC(18:0_22:6) _M+H2CO2</t>
  </si>
  <si>
    <t>PC(40:6)&gt;PC(18:0_22:6) _M+H2CO2_feature3</t>
  </si>
  <si>
    <t>PC(18:0_22:6)_lp_c</t>
  </si>
  <si>
    <t>C49 H90 N O10 P</t>
  </si>
  <si>
    <t>PC(40:4)&gt;PC(18:0_22:4) M + H2CO2</t>
  </si>
  <si>
    <t>PC(40:4)&gt;PC(18:0_22:4)_M+H2CO2</t>
  </si>
  <si>
    <t>PC(40:4)&gt;PC(18:0_22:4)_M+H2CO2_feature2</t>
  </si>
  <si>
    <t>PC(18:0_22:4)_lp_b</t>
  </si>
  <si>
    <t>C47 H82 N O10 P</t>
  </si>
  <si>
    <t>PC(38:6)&gt;PC(18:2_20:4) M + H2CO2</t>
  </si>
  <si>
    <t>PC(38:6)&gt;PC(18:2_20:4)_M+H2CO2</t>
  </si>
  <si>
    <t>PC(38:6)&gt;PC(18:2_20:4)_M+H2CO2_feature1</t>
  </si>
  <si>
    <t>PC(18:2_20:4)_lp_a</t>
  </si>
  <si>
    <t>PC(38:6)&gt;PC(16:0_22:6)_and_PC(18:0_20:6) M + H2CO2</t>
  </si>
  <si>
    <t>PC(38:6)&gt;PC(16:0_22:6)_and_PC(18:0_20:6)_M+H2CO2</t>
  </si>
  <si>
    <t>PC(38:6)&gt;PC(16:0_22:6)_and_PC(18:0_20:6)_M+H2CO2_feature2</t>
  </si>
  <si>
    <t>PC(38:6)_lp_b</t>
  </si>
  <si>
    <t>C47 H84 N O10 P</t>
  </si>
  <si>
    <t>PC(38:5)&gt;PC(16:0_22:5) M + H2CO2</t>
  </si>
  <si>
    <t>PC(38:5)&gt;PC(16:0_22:5)_M+H2CO2</t>
  </si>
  <si>
    <t>PC(38:5)&gt;PC(16:0_22:5)_M+H2CO2_feature5</t>
  </si>
  <si>
    <t>PC(16:0_22:5)_lp_e</t>
  </si>
  <si>
    <t>PC(38:5)&gt;PC(16:0_22:5)_and_PC(18:1_20:4) M + H2CO2</t>
  </si>
  <si>
    <t>PC(38:5)&gt;PC(16:0_22:5)_and_PC(18:1_20:4)_M+H2CO2</t>
  </si>
  <si>
    <t>PC(38:5)&gt;PC(16:0_22:5)_and_PC(18:1_20:4)_M+H2CO2_feature3</t>
  </si>
  <si>
    <t>PC(38:5)_lp_c</t>
  </si>
  <si>
    <t>C47 H86 N O10 P</t>
  </si>
  <si>
    <t>PC(38:4)&gt;PC(18:0_20:4) M + H2CO2</t>
  </si>
  <si>
    <t>PC(38:4)&gt;PC(18:0_20:4)_M+H2CO2</t>
  </si>
  <si>
    <t>PC(38:4)&gt;PC(18:0_20:4)_M+H2CO2_feature4</t>
  </si>
  <si>
    <t>PC(18:0_20:4)_lp_d</t>
  </si>
  <si>
    <t>PC(38:4)&gt;PC(16:0_22:4) M + H2CO2</t>
  </si>
  <si>
    <t>PC(38:4)&gt;PC(16:0_22:4)_M+H2CO2</t>
  </si>
  <si>
    <t>PC(38:4)&gt;PC(16:0_22:4)_M+H2CO2_feature3</t>
  </si>
  <si>
    <t>PC(16:0_22:4)_lp_c</t>
  </si>
  <si>
    <t>C47 H88 N O10 P</t>
  </si>
  <si>
    <t>PC(38:3)&gt;PC(18:0_20:3) M + H2CO2</t>
  </si>
  <si>
    <t>PC(38:3)&gt;PC(18:0_20:3)_M+H2CO2</t>
  </si>
  <si>
    <t>PC(38:3)&gt;PC(18:0_20:3)_M+H2CO2_feature3</t>
  </si>
  <si>
    <t>PC(18:0_20:3)_lp_c</t>
  </si>
  <si>
    <t>C46 H84 N O10 P</t>
  </si>
  <si>
    <t>PC(37:4)&gt;PC(17:0_20:4) M + H2CO2</t>
  </si>
  <si>
    <t>PC(37:4)&gt;PC(17:0_20:4)_M+H2CO2</t>
  </si>
  <si>
    <t>PC(37:4)&gt;PC(17:0_20:4)_M+H2CO2_feature3</t>
  </si>
  <si>
    <t>PC(17:0_20:4)_lp_c</t>
  </si>
  <si>
    <t>C45 H80 N O10 P</t>
  </si>
  <si>
    <t>PC(36:5)&gt;PC(16:1_20:4) M + H2CO2</t>
  </si>
  <si>
    <t>PC(36:5)&gt;PC(16:1_20:4)_M+H2CO2</t>
  </si>
  <si>
    <t>PC(36:5)&gt;PC(16:1_20:4)_M+H2CO2_feature2</t>
  </si>
  <si>
    <t>PC(16:1_20:4)_lp_b</t>
  </si>
  <si>
    <t>PC(36:5)&gt;PC(16:0_20:5) M + H2CO2</t>
  </si>
  <si>
    <t>PC(36:5)&gt;PC(16:0_20:5)_M+H2CO2</t>
  </si>
  <si>
    <t>PC(36:5)&gt;PC(16:0_20:5)_M+H2CO2_feature3</t>
  </si>
  <si>
    <t>PC(16:0_20:5)_lp_c</t>
  </si>
  <si>
    <t>C45 H82 N O10 P</t>
  </si>
  <si>
    <t>PC(36:4)&gt;PC(18:2/18:2) M + H2CO2</t>
  </si>
  <si>
    <t>PC(36:4)&gt;PC(18:2/18:2)_M+H2CO2</t>
  </si>
  <si>
    <t>PC(36:4)&gt;PC(18:2/18:2)_M+H2CO2_feature2</t>
  </si>
  <si>
    <t>PC(18:2/18:2)_lp_b</t>
  </si>
  <si>
    <t>PC(36:4)&gt;PC(16:0_20:4) M + H2CO2</t>
  </si>
  <si>
    <t>PC(36:4)&gt;PC(16:0_20:4)_M+H2CO2</t>
  </si>
  <si>
    <t>PC(36:4)&gt;PC(16:0_20:4)_M+H2CO2_feature3</t>
  </si>
  <si>
    <t>PC(16:0_20:4)_lp_c</t>
  </si>
  <si>
    <t>C45 H84 N O10 P</t>
  </si>
  <si>
    <t>PC(36:3)&gt;PC(18:1_18:2) M + H2CO2</t>
  </si>
  <si>
    <t>PC(36:3)&gt;PC(18:1_18:2)_M+H2CO2</t>
  </si>
  <si>
    <t>PC(36:3)&gt;PC(18:1_18:2)_M+H2CO2_feature3</t>
  </si>
  <si>
    <t>PC(18:1_18:2)_lp_c</t>
  </si>
  <si>
    <t>PC(36:3)&gt;PC(18:1_18:2)_M+H2CO2_feature2</t>
  </si>
  <si>
    <t>PC(18:1_18:2)_lp_b</t>
  </si>
  <si>
    <t>C45 H86 N O10 P</t>
  </si>
  <si>
    <t>PC(36:2)&gt;PC(18:0_18:2) M + H2CO2</t>
  </si>
  <si>
    <t>PC(36:2)&gt;PC(18:0_18:2)_M+H2CO2</t>
  </si>
  <si>
    <t>PC(36:2)&gt;PC(18:0_18:2)_M+H2CO2_feature3</t>
  </si>
  <si>
    <t>PC(18:0_18:2)_lp_c</t>
  </si>
  <si>
    <t>C45 H88 N O10 P</t>
  </si>
  <si>
    <t>PC(36:1)&gt;PC(16:0_20:1)_and_PC(18:0_18:1) M + H2CO2</t>
  </si>
  <si>
    <t>PC(36:1)&gt;PC(16:0_20:1)_and_PC(18:0_18:1)_M+H2CO2</t>
  </si>
  <si>
    <t>PC(36:1)&gt;PC(16:0_20:1)_and_PC(18:0_18:1)_M+H2CO2_feature1</t>
  </si>
  <si>
    <t>PC(36:1)_lp_a</t>
  </si>
  <si>
    <t>C44 H80 N O10 P</t>
  </si>
  <si>
    <t>PC(35:4)&gt;PC(15:0_20:4) M + H2CO2</t>
  </si>
  <si>
    <t>PC(35:4)&gt;PC(15:0_20:4)_M+H2CO2</t>
  </si>
  <si>
    <t>PC(35:4)&gt;PC(15:0_20:4)_M+H2CO2_feature2</t>
  </si>
  <si>
    <t>PC(15:0_20:4)_lp_b</t>
  </si>
  <si>
    <t>C44 H84 N O10 P</t>
  </si>
  <si>
    <t>PC(35:2)&gt;PC(17:0_18:2) M + H2CO2</t>
  </si>
  <si>
    <t>PC(35:2)&gt;PC(17:0_18:2)_M+H2CO2</t>
  </si>
  <si>
    <t>PC(35:2)&gt;PC(17:0_18:2)_M+H2CO2_feature2</t>
  </si>
  <si>
    <t>PC(17:0_18:2)_lp_b</t>
  </si>
  <si>
    <t>C43 H78 N O10 P</t>
  </si>
  <si>
    <t>PC(34:4)&gt;PC(14:0_20:4) M + H2CO2</t>
  </si>
  <si>
    <t>PC(34:4)&gt;PC(14:0_20:4)_M+H2CO2</t>
  </si>
  <si>
    <t>PC(34:4)&gt;PC(14:0_20:4)_M+H2CO2_feature2</t>
  </si>
  <si>
    <t>PC(14:0_20:4)_lp_b</t>
  </si>
  <si>
    <t>C43 H80 N O10 P</t>
  </si>
  <si>
    <t>PC(34:3)&gt;PC(16:1_18:2) M + H2CO2</t>
  </si>
  <si>
    <t>PC(34:3)&gt;PC(16:1_18:2)_M+H2CO2</t>
  </si>
  <si>
    <t>PC(34:3)&gt;PC(16:1_18:2)_M+H2CO2_feature1</t>
  </si>
  <si>
    <t>PC(16:1_18:2)_lp_a</t>
  </si>
  <si>
    <t>PC(34:3)&gt;PC(16:0_18:3) M + H2CO2</t>
  </si>
  <si>
    <t>PC(34:3)&gt;PC(16:0_18:3)_M+H2CO2</t>
  </si>
  <si>
    <t>PC(34:3)&gt;PC(16:0_18:3)_M+H2CO2_feature3</t>
  </si>
  <si>
    <t>PC(16:0_18:3)_lp_c</t>
  </si>
  <si>
    <t>C43 H82 N O10 P</t>
  </si>
  <si>
    <t>PC(34:2)&gt;PC(16:0_18:2) M + H2CO2</t>
  </si>
  <si>
    <t>PC(34:2)&gt;PC(16:0_18:2)_M+H2CO2</t>
  </si>
  <si>
    <t>PC(34:2)&gt;PC(16:0_18:2)_M+H2CO2_feature1</t>
  </si>
  <si>
    <t>PC(16:0_18:2)_lp_a</t>
  </si>
  <si>
    <t>C43 H84 N O10 P</t>
  </si>
  <si>
    <t>PC(34:1)&gt;PC(16:0_18:1) M + H2CO2</t>
  </si>
  <si>
    <t>PC(34:1)&gt;PC(16:0_18:1)_M+H2CO2</t>
  </si>
  <si>
    <t>PC(34:1)&gt;PC(16:0_18:1)_M+H2CO2_feature2</t>
  </si>
  <si>
    <t>PC(16:0_18:1)_lp_b</t>
  </si>
  <si>
    <t>C43 H86 N O10 P</t>
  </si>
  <si>
    <t>PC(34:0)&gt;PC(16:0_18:0) M+ H2CO2</t>
  </si>
  <si>
    <t>PC(34:0)&gt;PC(16:0_18:0) M+ H2CO2_feature3</t>
  </si>
  <si>
    <t>PC(16:0/18:0)_lp_c</t>
  </si>
  <si>
    <t>C41 H80 N O10 P</t>
  </si>
  <si>
    <t>PC(32:1)&gt;PC(14:0_18:1)_and_PC(16:0_16:1) M+ H2CO2</t>
  </si>
  <si>
    <t>PC(32:1)&gt;PC(14:0_18:1)_and_PC(16:0_16:1) M+ H2CO2_feature2</t>
  </si>
  <si>
    <t>PC(32:1)_lp_b</t>
  </si>
  <si>
    <t>C41 H82 N O10 P</t>
  </si>
  <si>
    <t>PC(32:0)&gt;PC(16:0_16:0) M + H2CO2</t>
  </si>
  <si>
    <t>PC(32:0)&gt;PC(16:0_16:0)_M+H2CO2</t>
  </si>
  <si>
    <t>PC(32:0)&gt;PC(16:0_16:0)_M+H2CO2_feature2</t>
  </si>
  <si>
    <t>PC(32:0)_lp_b</t>
  </si>
  <si>
    <t>C39 H78 N O10 P</t>
  </si>
  <si>
    <t>PC(30:0)&gt;PC(14:0_16:0) M + H2CO2</t>
  </si>
  <si>
    <t>PC(30:0)&gt;PC(14:0_16:0)_M+H2CO2</t>
  </si>
  <si>
    <t>PC(30:0)&gt;PC(14:0_16:0)_M+H2CO2_feature1</t>
  </si>
  <si>
    <t>PC(30:0)_lp_a</t>
  </si>
  <si>
    <t>C42 H75 D7 N O10 P</t>
  </si>
  <si>
    <t>GTInternalStandard_PC(33:1(d7))&gt;PC(15:0/18:1(9z,d7))_[istd] M + H2CO2</t>
  </si>
  <si>
    <t>GTInternalStandard_PC(33:1(d7))&gt;PC(15:0/18:1(9z,d7))_[istd]_M+H2CO2</t>
  </si>
  <si>
    <t>GTInternalStandard_PC(33:1(d7))&gt;PC(15:0/18:1(9z,d7))_M+H2CO2_feature1</t>
  </si>
  <si>
    <t>GTInternalStandard_PC(33:1(d7))&gt;PC(15:0/18:1(9z,d7))_[iSTD]</t>
  </si>
  <si>
    <t>PC/PE ratio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</si>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</sst>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7CDF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0" fontId="1" fillId="4" borderId="2" xfId="0" applyFont="1" applyFill="1" applyBorder="1"/>
    <xf numFmtId="0" fontId="2" fillId="0" borderId="0" xfId="1"/>
    <xf numFmtId="0" fontId="1" fillId="2" borderId="0" xfId="0" applyFont="1" applyFill="1"/>
    <xf numFmtId="0" fontId="3" fillId="5" borderId="3" xfId="0" applyFont="1" applyFill="1" applyBorder="1"/>
    <xf numFmtId="2" fontId="3" fillId="5" borderId="3" xfId="0" applyNumberFormat="1" applyFont="1" applyFill="1" applyBorder="1"/>
    <xf numFmtId="0" fontId="0" fillId="6" borderId="0" xfId="0" applyFill="1"/>
    <xf numFmtId="0" fontId="3" fillId="7" borderId="2" xfId="0" applyFont="1" applyFill="1" applyBorder="1"/>
    <xf numFmtId="164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DD91CE50-4DA0-4510-8E18-2D0BBC7EADF4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PC!$AC$2:$AC$34</c:f>
              <c:numCache>
                <c:formatCode>General</c:formatCode>
                <c:ptCount val="33"/>
                <c:pt idx="0">
                  <c:v>766006.97685004398</c:v>
                </c:pt>
                <c:pt idx="1">
                  <c:v>70781.933267165907</c:v>
                </c:pt>
                <c:pt idx="2">
                  <c:v>700927.75843560696</c:v>
                </c:pt>
                <c:pt idx="3">
                  <c:v>182501.96018684501</c:v>
                </c:pt>
                <c:pt idx="4">
                  <c:v>157519.45364625499</c:v>
                </c:pt>
                <c:pt idx="5">
                  <c:v>3470368.50257023</c:v>
                </c:pt>
                <c:pt idx="6">
                  <c:v>6514792.0909800902</c:v>
                </c:pt>
                <c:pt idx="7">
                  <c:v>54331.744956140901</c:v>
                </c:pt>
                <c:pt idx="8">
                  <c:v>36845.113775513302</c:v>
                </c:pt>
                <c:pt idx="9">
                  <c:v>23845.325488693601</c:v>
                </c:pt>
                <c:pt idx="10">
                  <c:v>90595.193443638302</c:v>
                </c:pt>
                <c:pt idx="11">
                  <c:v>38640.323094473802</c:v>
                </c:pt>
                <c:pt idx="12">
                  <c:v>470788.57802990498</c:v>
                </c:pt>
                <c:pt idx="13">
                  <c:v>1936614.66105416</c:v>
                </c:pt>
                <c:pt idx="14">
                  <c:v>754449.23777622997</c:v>
                </c:pt>
                <c:pt idx="15">
                  <c:v>404500.09611903498</c:v>
                </c:pt>
                <c:pt idx="16">
                  <c:v>8780320.76553775</c:v>
                </c:pt>
                <c:pt idx="17">
                  <c:v>363621.01880801702</c:v>
                </c:pt>
                <c:pt idx="18">
                  <c:v>204057.92559756499</c:v>
                </c:pt>
                <c:pt idx="19">
                  <c:v>54942.817078268301</c:v>
                </c:pt>
                <c:pt idx="20">
                  <c:v>113762.008587125</c:v>
                </c:pt>
                <c:pt idx="21">
                  <c:v>90067.106104573497</c:v>
                </c:pt>
                <c:pt idx="22">
                  <c:v>199927.78188582399</c:v>
                </c:pt>
                <c:pt idx="23">
                  <c:v>2291868.7397990101</c:v>
                </c:pt>
                <c:pt idx="24">
                  <c:v>1533534.1676673</c:v>
                </c:pt>
                <c:pt idx="25">
                  <c:v>209033.67889270501</c:v>
                </c:pt>
                <c:pt idx="26">
                  <c:v>5075316.2791695697</c:v>
                </c:pt>
                <c:pt idx="27">
                  <c:v>476967.673105294</c:v>
                </c:pt>
                <c:pt idx="28">
                  <c:v>37427.078412567796</c:v>
                </c:pt>
                <c:pt idx="29">
                  <c:v>753619.36331157701</c:v>
                </c:pt>
                <c:pt idx="30">
                  <c:v>252248.33464463599</c:v>
                </c:pt>
                <c:pt idx="31">
                  <c:v>35933.071141182998</c:v>
                </c:pt>
                <c:pt idx="32">
                  <c:v>225179.35868178599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1-4EBC-8EF6-2723C2B72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198751"/>
        <c:axId val="1824195391"/>
      </c:barChart>
      <c:catAx>
        <c:axId val="182419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95391"/>
        <c:crosses val="autoZero"/>
        <c:auto val="1"/>
        <c:lblAlgn val="ctr"/>
        <c:lblOffset val="100"/>
        <c:noMultiLvlLbl val="0"/>
      </c:catAx>
      <c:valAx>
        <c:axId val="18241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9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PC_PE!$A$6:$A$10</c:f>
              <c:strCache>
                <c:ptCount val="5"/>
                <c:pt idx="0">
                  <c:v>F_C</c:v>
                </c:pt>
                <c:pt idx="1">
                  <c:v>F_T1</c:v>
                </c:pt>
                <c:pt idx="2">
                  <c:v>F_T2</c:v>
                </c:pt>
                <c:pt idx="3">
                  <c:v>F_T4</c:v>
                </c:pt>
                <c:pt idx="4">
                  <c:v>F_T8</c:v>
                </c:pt>
              </c:strCache>
            </c:strRef>
          </c:cat>
          <c:val>
            <c:numRef>
              <c:f>PC_PE!$B$6:$B$10</c:f>
              <c:numCache>
                <c:formatCode>General</c:formatCode>
                <c:ptCount val="5"/>
                <c:pt idx="0">
                  <c:v>5.2884114536723192</c:v>
                </c:pt>
                <c:pt idx="1">
                  <c:v>5.2813850982373891</c:v>
                </c:pt>
                <c:pt idx="2">
                  <c:v>4.6629760153245474</c:v>
                </c:pt>
                <c:pt idx="3">
                  <c:v>4.3780202005174882</c:v>
                </c:pt>
                <c:pt idx="4">
                  <c:v>4.7076292554526615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5-4254-8CFE-4A6E3F85C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848591"/>
        <c:axId val="1593864431"/>
      </c:barChart>
      <c:catAx>
        <c:axId val="15938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64431"/>
        <c:crosses val="autoZero"/>
        <c:auto val="1"/>
        <c:lblAlgn val="ctr"/>
        <c:lblOffset val="100"/>
        <c:noMultiLvlLbl val="0"/>
      </c:catAx>
      <c:valAx>
        <c:axId val="159386443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4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PC_PE!$A$12:$A$16</c:f>
              <c:strCache>
                <c:ptCount val="5"/>
                <c:pt idx="0">
                  <c:v>M_C</c:v>
                </c:pt>
                <c:pt idx="1">
                  <c:v>M_T1</c:v>
                </c:pt>
                <c:pt idx="2">
                  <c:v>M_T2</c:v>
                </c:pt>
                <c:pt idx="3">
                  <c:v>M_T4</c:v>
                </c:pt>
                <c:pt idx="4">
                  <c:v>M_T8</c:v>
                </c:pt>
              </c:strCache>
            </c:strRef>
          </c:cat>
          <c:val>
            <c:numRef>
              <c:f>PC_PE!$B$12:$B$16</c:f>
              <c:numCache>
                <c:formatCode>General</c:formatCode>
                <c:ptCount val="5"/>
                <c:pt idx="0">
                  <c:v>5.0709855937926536</c:v>
                </c:pt>
                <c:pt idx="1">
                  <c:v>4.5148005906135058</c:v>
                </c:pt>
                <c:pt idx="2">
                  <c:v>4.5864460511180001</c:v>
                </c:pt>
                <c:pt idx="3">
                  <c:v>4.3520329595938581</c:v>
                </c:pt>
                <c:pt idx="4">
                  <c:v>4.3845648370157866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A-42DE-9C00-2C186C5FA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855311"/>
        <c:axId val="1593855791"/>
      </c:barChart>
      <c:catAx>
        <c:axId val="15938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55791"/>
        <c:crosses val="autoZero"/>
        <c:auto val="1"/>
        <c:lblAlgn val="ctr"/>
        <c:lblOffset val="100"/>
        <c:noMultiLvlLbl val="0"/>
      </c:catAx>
      <c:valAx>
        <c:axId val="1593855791"/>
        <c:scaling>
          <c:orientation val="minMax"/>
          <c:max val="5.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5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595312</xdr:colOff>
      <xdr:row>10</xdr:row>
      <xdr:rowOff>152400</xdr:rowOff>
    </xdr:from>
    <xdr:to>
      <xdr:col>26</xdr:col>
      <xdr:colOff>566737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0C6F1-283A-4AA5-93DC-03F4BAFFE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20411</xdr:colOff>
      <xdr:row>7</xdr:row>
      <xdr:rowOff>142875</xdr:rowOff>
    </xdr:from>
    <xdr:to>
      <xdr:col>12</xdr:col>
      <xdr:colOff>647700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216B8-D280-4305-B19B-08A8A8187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325211</xdr:colOff>
      <xdr:row>7</xdr:row>
      <xdr:rowOff>171450</xdr:rowOff>
    </xdr:from>
    <xdr:to>
      <xdr:col>20</xdr:col>
      <xdr:colOff>295275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7A9D30-F4F1-4ECD-A5E7-9F3E239CC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EACB-0736-4C32-97AE-3A849E9AF518}">
  <dimension ref="A1:CZ57"/>
  <sheetViews>
    <sheetView workbookViewId="0">
      <selection sqref="A1:XFD1048576"/>
    </sheetView>
  </sheetViews>
  <sheetFormatPr baseColWidth="10" defaultColWidth="8.83203125" defaultRowHeight="15" x14ac:dyDescent="0.2"/>
  <cols>
    <col min="4" max="4" width="14.83203125" customWidth="1"/>
    <col min="7" max="7" width="36.5" customWidth="1"/>
    <col min="29" max="29" width="11.83203125" bestFit="1" customWidth="1"/>
  </cols>
  <sheetData>
    <row r="1" spans="1:104" x14ac:dyDescent="0.2">
      <c r="A1" t="s">
        <v>155</v>
      </c>
      <c r="B1" t="s">
        <v>154</v>
      </c>
      <c r="C1" t="s">
        <v>153</v>
      </c>
      <c r="D1" t="s">
        <v>152</v>
      </c>
      <c r="E1" t="s">
        <v>151</v>
      </c>
      <c r="F1" t="s">
        <v>150</v>
      </c>
      <c r="G1" t="s">
        <v>149</v>
      </c>
      <c r="H1" t="s">
        <v>148</v>
      </c>
      <c r="I1" t="s">
        <v>147</v>
      </c>
      <c r="J1" t="s">
        <v>146</v>
      </c>
      <c r="K1" t="s">
        <v>145</v>
      </c>
      <c r="L1" t="s">
        <v>144</v>
      </c>
      <c r="M1" t="s">
        <v>143</v>
      </c>
      <c r="N1" t="s">
        <v>142</v>
      </c>
      <c r="O1" s="10" t="s">
        <v>141</v>
      </c>
      <c r="P1" s="10" t="s">
        <v>140</v>
      </c>
      <c r="Q1" s="10" t="s">
        <v>139</v>
      </c>
      <c r="R1" t="s">
        <v>138</v>
      </c>
      <c r="S1" t="s">
        <v>137</v>
      </c>
      <c r="T1" t="s">
        <v>136</v>
      </c>
      <c r="U1" s="9" t="s">
        <v>135</v>
      </c>
      <c r="V1" s="9" t="s">
        <v>134</v>
      </c>
      <c r="W1" s="9" t="s">
        <v>133</v>
      </c>
      <c r="X1" s="9" t="s">
        <v>132</v>
      </c>
      <c r="Y1" s="9" t="s">
        <v>131</v>
      </c>
      <c r="Z1" s="9" t="s">
        <v>130</v>
      </c>
      <c r="AA1" s="9" t="s">
        <v>129</v>
      </c>
      <c r="AB1" s="9" t="s">
        <v>128</v>
      </c>
      <c r="AC1" t="s">
        <v>127</v>
      </c>
      <c r="AD1" t="s">
        <v>127</v>
      </c>
      <c r="AE1" t="s">
        <v>127</v>
      </c>
      <c r="AF1" t="s">
        <v>127</v>
      </c>
      <c r="AG1" t="s">
        <v>127</v>
      </c>
      <c r="AH1" t="s">
        <v>126</v>
      </c>
      <c r="AI1" t="s">
        <v>126</v>
      </c>
      <c r="AJ1" t="s">
        <v>126</v>
      </c>
      <c r="AK1" t="s">
        <v>126</v>
      </c>
      <c r="AL1" t="s">
        <v>126</v>
      </c>
      <c r="AM1" t="s">
        <v>125</v>
      </c>
      <c r="AN1" t="s">
        <v>125</v>
      </c>
      <c r="AO1" t="s">
        <v>125</v>
      </c>
      <c r="AP1" t="s">
        <v>125</v>
      </c>
      <c r="AQ1" t="s">
        <v>125</v>
      </c>
      <c r="AR1" t="s">
        <v>124</v>
      </c>
      <c r="AS1" t="s">
        <v>124</v>
      </c>
      <c r="AT1" t="s">
        <v>124</v>
      </c>
      <c r="AU1" t="s">
        <v>124</v>
      </c>
      <c r="AV1" t="s">
        <v>124</v>
      </c>
      <c r="AW1" t="s">
        <v>123</v>
      </c>
      <c r="AX1" t="s">
        <v>123</v>
      </c>
      <c r="AY1" t="s">
        <v>123</v>
      </c>
      <c r="AZ1" t="s">
        <v>123</v>
      </c>
      <c r="BA1" t="s">
        <v>123</v>
      </c>
      <c r="BB1" t="s">
        <v>122</v>
      </c>
      <c r="BC1" t="s">
        <v>122</v>
      </c>
      <c r="BD1" t="s">
        <v>122</v>
      </c>
      <c r="BE1" t="s">
        <v>122</v>
      </c>
      <c r="BF1" t="s">
        <v>122</v>
      </c>
      <c r="BG1" t="s">
        <v>121</v>
      </c>
      <c r="BH1" t="s">
        <v>121</v>
      </c>
      <c r="BI1" t="s">
        <v>121</v>
      </c>
      <c r="BJ1" t="s">
        <v>121</v>
      </c>
      <c r="BK1" t="s">
        <v>121</v>
      </c>
      <c r="BL1" t="s">
        <v>120</v>
      </c>
      <c r="BM1" t="s">
        <v>120</v>
      </c>
      <c r="BN1" t="s">
        <v>120</v>
      </c>
      <c r="BO1" t="s">
        <v>120</v>
      </c>
      <c r="BP1" t="s">
        <v>120</v>
      </c>
      <c r="BQ1" t="s">
        <v>119</v>
      </c>
      <c r="BR1" t="s">
        <v>119</v>
      </c>
      <c r="BS1" t="s">
        <v>119</v>
      </c>
      <c r="BT1" t="s">
        <v>119</v>
      </c>
      <c r="BU1" t="s">
        <v>119</v>
      </c>
      <c r="BV1" t="s">
        <v>118</v>
      </c>
      <c r="BW1" t="s">
        <v>118</v>
      </c>
      <c r="BX1" t="s">
        <v>118</v>
      </c>
      <c r="BY1" t="s">
        <v>118</v>
      </c>
      <c r="BZ1" t="s">
        <v>118</v>
      </c>
      <c r="CA1" s="9" t="s">
        <v>117</v>
      </c>
      <c r="CB1" s="9" t="s">
        <v>116</v>
      </c>
      <c r="CC1" s="9" t="s">
        <v>115</v>
      </c>
      <c r="CD1" s="9" t="s">
        <v>114</v>
      </c>
      <c r="CE1" s="9" t="s">
        <v>113</v>
      </c>
      <c r="CF1" s="9" t="s">
        <v>112</v>
      </c>
      <c r="CG1" s="9" t="s">
        <v>111</v>
      </c>
      <c r="CH1" s="9" t="s">
        <v>110</v>
      </c>
      <c r="CI1" s="7" t="s">
        <v>109</v>
      </c>
      <c r="CJ1" s="7" t="s">
        <v>108</v>
      </c>
      <c r="CK1" s="7" t="s">
        <v>107</v>
      </c>
      <c r="CL1" s="7" t="s">
        <v>106</v>
      </c>
      <c r="CM1" s="7" t="s">
        <v>105</v>
      </c>
      <c r="CN1" s="7" t="s">
        <v>104</v>
      </c>
      <c r="CO1" s="7" t="s">
        <v>103</v>
      </c>
      <c r="CP1" s="7" t="s">
        <v>102</v>
      </c>
      <c r="CQ1" s="7" t="s">
        <v>101</v>
      </c>
      <c r="CR1" s="7" t="s">
        <v>100</v>
      </c>
      <c r="CS1" s="7" t="s">
        <v>99</v>
      </c>
      <c r="CT1" s="8" t="s">
        <v>98</v>
      </c>
      <c r="CU1" s="7" t="s">
        <v>97</v>
      </c>
      <c r="CV1" s="7" t="s">
        <v>96</v>
      </c>
      <c r="CW1" s="7" t="s">
        <v>95</v>
      </c>
      <c r="CX1" s="7" t="s">
        <v>94</v>
      </c>
      <c r="CY1" s="7" t="s">
        <v>93</v>
      </c>
      <c r="CZ1" s="7" t="s">
        <v>92</v>
      </c>
    </row>
    <row r="2" spans="1:104" x14ac:dyDescent="0.2">
      <c r="A2">
        <v>7207</v>
      </c>
      <c r="B2" s="2">
        <v>157</v>
      </c>
      <c r="C2" s="2" t="s">
        <v>8</v>
      </c>
      <c r="D2" s="2" t="s">
        <v>91</v>
      </c>
      <c r="E2" s="2" t="s">
        <v>90</v>
      </c>
      <c r="F2" s="2" t="s">
        <v>89</v>
      </c>
      <c r="G2" s="2" t="s">
        <v>89</v>
      </c>
      <c r="H2" s="2">
        <v>1</v>
      </c>
      <c r="I2" s="2" t="s">
        <v>88</v>
      </c>
      <c r="J2" s="2">
        <v>710.55952000000002</v>
      </c>
      <c r="K2" s="2">
        <v>710.55949999999996</v>
      </c>
      <c r="L2" s="2">
        <v>709.55114660000004</v>
      </c>
      <c r="M2" s="2">
        <v>5.0279999999999996</v>
      </c>
      <c r="N2" s="2">
        <v>5.03</v>
      </c>
      <c r="O2" s="2"/>
      <c r="P2" s="6" t="s">
        <v>87</v>
      </c>
      <c r="Q2" s="2"/>
      <c r="R2" s="2">
        <v>1</v>
      </c>
      <c r="S2" s="2" t="s">
        <v>2</v>
      </c>
      <c r="T2" s="2" t="s">
        <v>1</v>
      </c>
      <c r="U2">
        <f t="shared" ref="U2:U24" si="0">LOG((MEDIAN(AH2:AL2)/MEDIAN(AC2:AG2)),2)</f>
        <v>-8.1441668256229567E-3</v>
      </c>
      <c r="V2">
        <f t="shared" ref="V2:V24" si="1">LOG((MEDIAN(AM2:AQ2)/MEDIAN(AC2:AG2)),2)</f>
        <v>-3.4258074645608858E-2</v>
      </c>
      <c r="W2">
        <f t="shared" ref="W2:W24" si="2">LOG((MEDIAN(AR2:AV2)/MEDIAN(AC2:AG2)),2)</f>
        <v>-1.3540224205689913E-2</v>
      </c>
      <c r="X2">
        <f t="shared" ref="X2:X24" si="3">LOG((MEDIAN(AW2:BA2)/MEDIAN(AC2:AG2)),2)</f>
        <v>1.3619826118718554E-2</v>
      </c>
      <c r="Y2">
        <f t="shared" ref="Y2:Y24" si="4">TTEST(AC2:AG2,AH2:AL2,2,2)</f>
        <v>0.67351711729774277</v>
      </c>
      <c r="Z2">
        <f t="shared" ref="Z2:Z24" si="5">TTEST(AC2:AG2,AM2:AQ2,2,2)</f>
        <v>0.14893046672431176</v>
      </c>
      <c r="AA2">
        <f t="shared" ref="AA2:AA24" si="6">TTEST(AC2:AG2,AR2:AV2,2,2)</f>
        <v>0.19516050146379757</v>
      </c>
      <c r="AB2">
        <f t="shared" ref="AB2:AB24" si="7">TTEST(AC2:AG2,AW2:BA2,2,2)</f>
        <v>0.58229388410177629</v>
      </c>
      <c r="AC2" s="2">
        <v>44836.734368254998</v>
      </c>
      <c r="AD2" s="2">
        <v>43387.607574219102</v>
      </c>
      <c r="AE2" s="2">
        <v>45075.838816702599</v>
      </c>
      <c r="AF2" s="2">
        <v>44838.090512265997</v>
      </c>
      <c r="AG2" s="2">
        <v>45622.838279355303</v>
      </c>
      <c r="AH2" s="2">
        <v>44585.687816538601</v>
      </c>
      <c r="AI2" s="2">
        <v>47464.199470094398</v>
      </c>
      <c r="AJ2" s="2">
        <v>44732.964250489204</v>
      </c>
      <c r="AK2" s="2">
        <v>44464.308483245397</v>
      </c>
      <c r="AL2" s="2">
        <v>44073.541150166602</v>
      </c>
      <c r="AM2" s="2">
        <v>41417.432876492698</v>
      </c>
      <c r="AN2" s="2">
        <v>44943.541860601399</v>
      </c>
      <c r="AO2" s="2">
        <v>45059.470031380901</v>
      </c>
      <c r="AP2" s="2">
        <v>41580.853113377903</v>
      </c>
      <c r="AQ2" s="2">
        <v>43785.912138568201</v>
      </c>
      <c r="AR2" s="2">
        <v>43048.7733701631</v>
      </c>
      <c r="AS2" s="2">
        <v>44419.2371430852</v>
      </c>
      <c r="AT2" s="2">
        <v>44692.123915457203</v>
      </c>
      <c r="AU2" s="2">
        <v>44661.202016073701</v>
      </c>
      <c r="AV2" s="2">
        <v>43353.640739980299</v>
      </c>
      <c r="AW2" s="2">
        <v>45263.390856562903</v>
      </c>
      <c r="AX2" s="2">
        <v>44594.923461684797</v>
      </c>
      <c r="AY2" s="2">
        <v>43481.256927110997</v>
      </c>
      <c r="AZ2" s="2">
        <v>46618.943692771099</v>
      </c>
      <c r="BA2" s="2">
        <v>45642.085257959101</v>
      </c>
      <c r="BB2" s="2">
        <v>44472.404027681099</v>
      </c>
      <c r="BC2" s="2">
        <v>45567.2966649175</v>
      </c>
      <c r="BD2" s="2">
        <v>44768.853473556097</v>
      </c>
      <c r="BE2" s="2">
        <v>43537.688770784698</v>
      </c>
      <c r="BF2" s="2">
        <v>45183.021568155797</v>
      </c>
      <c r="BG2" s="2">
        <v>45650.752101595099</v>
      </c>
      <c r="BH2" s="2">
        <v>44090.572138424403</v>
      </c>
      <c r="BI2" s="2">
        <v>45818.332557629903</v>
      </c>
      <c r="BJ2" s="2">
        <v>41132.042660398802</v>
      </c>
      <c r="BK2" s="2">
        <v>47843.485170631597</v>
      </c>
      <c r="BL2" s="2">
        <v>46198.3875014445</v>
      </c>
      <c r="BM2" s="2">
        <v>47224.6149421058</v>
      </c>
      <c r="BN2" s="2">
        <v>45567.952662901</v>
      </c>
      <c r="BO2" s="2">
        <v>47305.502970034802</v>
      </c>
      <c r="BP2" s="2">
        <v>46697.642345302098</v>
      </c>
      <c r="BQ2" s="2">
        <v>44209.449958543999</v>
      </c>
      <c r="BR2" s="2">
        <v>46932.6609565053</v>
      </c>
      <c r="BS2" s="2">
        <v>44385.785536855001</v>
      </c>
      <c r="BT2" s="2">
        <v>43928.9398699585</v>
      </c>
      <c r="BU2" s="2">
        <v>44069.286915924</v>
      </c>
      <c r="BV2" s="2">
        <v>44599.199300543703</v>
      </c>
      <c r="BW2" s="2">
        <v>43306.594500431798</v>
      </c>
      <c r="BX2" s="2">
        <v>46350.9156612031</v>
      </c>
      <c r="BY2" s="2">
        <v>47723.683275767798</v>
      </c>
      <c r="BZ2" s="2">
        <v>45501.097486290499</v>
      </c>
      <c r="CA2">
        <f t="shared" ref="CA2:CA24" si="8">LOG((MEDIAN(BG2:BK2)/MEDIAN(BB2:BF2)),2)</f>
        <v>2.814325755843056E-2</v>
      </c>
      <c r="CB2">
        <f t="shared" ref="CB2:CB24" si="9">LOG((MEDIAN(BL2:BP2)/MEDIAN(BB2:BF2)),2)</f>
        <v>6.085434205659427E-2</v>
      </c>
      <c r="CC2">
        <f t="shared" ref="CC2:CC24" si="10">LOG((MEDIAN(BQ2:BU2)/MEDIAN(BB2:BF2)),2)</f>
        <v>-1.8140586619510533E-2</v>
      </c>
      <c r="CD2">
        <f t="shared" ref="CD2:CD24" si="11">LOG((MEDIAN(BV2:BZ2)/MEDIAN(BB2:BF2)),2)</f>
        <v>2.3405972109621583E-2</v>
      </c>
      <c r="CE2" s="3">
        <f t="shared" ref="CE2:CE24" si="12">TTEST(BB2:BF2,BG2:BK2,2,2)</f>
        <v>0.86759781865706997</v>
      </c>
      <c r="CF2" s="3">
        <f t="shared" ref="CF2:CF24" si="13">TTEST(BB2:BF2,BL2:BP2,2,2)</f>
        <v>4.0426911078865436E-3</v>
      </c>
      <c r="CG2" s="3">
        <f t="shared" ref="CG2:CG24" si="14">TTEST(BB2:BF2,BQ2:BU2,2,2)</f>
        <v>0.99926368446375147</v>
      </c>
      <c r="CH2" s="3">
        <f t="shared" ref="CH2:CH24" si="15">TTEST(BB2:BF2,BV2:BZ2,2,2)</f>
        <v>0.36725212415113689</v>
      </c>
      <c r="CI2" s="2">
        <v>42522.644721977602</v>
      </c>
      <c r="CJ2" s="2">
        <v>44596.378921968899</v>
      </c>
      <c r="CK2" s="2">
        <v>45614.599709380404</v>
      </c>
      <c r="CL2" s="2">
        <v>45247.801562893103</v>
      </c>
      <c r="CM2" s="2">
        <v>46008.648990035799</v>
      </c>
      <c r="CN2" s="2">
        <v>45026.567528286301</v>
      </c>
      <c r="CO2" s="2">
        <v>48063.470483805897</v>
      </c>
      <c r="CP2" s="2">
        <v>44207.023546771197</v>
      </c>
      <c r="CQ2" s="2">
        <v>46028.485470160798</v>
      </c>
      <c r="CR2" s="2">
        <v>43822.325232304996</v>
      </c>
      <c r="CS2" s="2">
        <v>48762.466297204999</v>
      </c>
      <c r="CT2" s="2">
        <v>44888.233368662703</v>
      </c>
      <c r="CU2" s="2">
        <v>704.37695354514096</v>
      </c>
      <c r="CV2" s="2">
        <v>540.29247957837799</v>
      </c>
      <c r="CW2" s="2">
        <v>746.87703215516001</v>
      </c>
      <c r="CX2" s="2">
        <v>637.34575682095306</v>
      </c>
      <c r="CY2" s="2">
        <v>218.63803082243001</v>
      </c>
      <c r="CZ2" s="1">
        <v>215.99684401115499</v>
      </c>
    </row>
    <row r="3" spans="1:104" x14ac:dyDescent="0.2">
      <c r="A3">
        <v>7283</v>
      </c>
      <c r="B3" s="2">
        <v>100</v>
      </c>
      <c r="C3" s="2" t="s">
        <v>8</v>
      </c>
      <c r="D3" s="2" t="s">
        <v>86</v>
      </c>
      <c r="E3" s="2" t="s">
        <v>85</v>
      </c>
      <c r="F3" s="2" t="s">
        <v>84</v>
      </c>
      <c r="G3" s="2" t="s">
        <v>84</v>
      </c>
      <c r="H3" s="2">
        <v>2</v>
      </c>
      <c r="I3" s="2" t="s">
        <v>83</v>
      </c>
      <c r="J3" s="2">
        <v>717.53102000000001</v>
      </c>
      <c r="K3" s="2">
        <v>717.53099999999995</v>
      </c>
      <c r="L3" s="2">
        <v>716.52264660000003</v>
      </c>
      <c r="M3" s="2">
        <v>5.5010000000000003</v>
      </c>
      <c r="N3" s="2">
        <v>5.5</v>
      </c>
      <c r="O3" s="2">
        <v>1.0938743038981704</v>
      </c>
      <c r="P3" s="5" t="s">
        <v>3</v>
      </c>
      <c r="Q3" s="2">
        <v>5.0279999999999996</v>
      </c>
      <c r="R3" s="2">
        <v>1</v>
      </c>
      <c r="S3" s="2" t="s">
        <v>2</v>
      </c>
      <c r="T3" s="2" t="s">
        <v>1</v>
      </c>
      <c r="U3">
        <f t="shared" si="0"/>
        <v>0.10991112040972945</v>
      </c>
      <c r="V3">
        <f t="shared" si="1"/>
        <v>7.5874981270578831E-2</v>
      </c>
      <c r="W3">
        <f t="shared" si="2"/>
        <v>0.41293085130687096</v>
      </c>
      <c r="X3">
        <f t="shared" si="3"/>
        <v>0.11565720451201385</v>
      </c>
      <c r="Y3">
        <f t="shared" si="4"/>
        <v>0.22948236274238146</v>
      </c>
      <c r="Z3">
        <f t="shared" si="5"/>
        <v>0.1869043639646481</v>
      </c>
      <c r="AA3">
        <f t="shared" si="6"/>
        <v>0.18781736555002171</v>
      </c>
      <c r="AB3">
        <f t="shared" si="7"/>
        <v>0.40856693792730314</v>
      </c>
      <c r="AC3" s="2">
        <v>70908.526826179703</v>
      </c>
      <c r="AD3" s="2">
        <v>82017.460757399705</v>
      </c>
      <c r="AE3" s="2">
        <v>75498.438877523804</v>
      </c>
      <c r="AF3" s="2">
        <v>88871.980919922295</v>
      </c>
      <c r="AG3" s="2">
        <v>66050.124150862903</v>
      </c>
      <c r="AH3" s="2">
        <v>77882.237228582802</v>
      </c>
      <c r="AI3" s="2">
        <v>111693.80139204999</v>
      </c>
      <c r="AJ3" s="2">
        <v>69795.183324118203</v>
      </c>
      <c r="AK3" s="2">
        <v>98201.546421268198</v>
      </c>
      <c r="AL3" s="2">
        <v>81475.027491533605</v>
      </c>
      <c r="AM3" s="2">
        <v>232520.126827706</v>
      </c>
      <c r="AN3" s="2">
        <v>76123.570500510905</v>
      </c>
      <c r="AO3" s="2">
        <v>78486.870681831206</v>
      </c>
      <c r="AP3" s="2">
        <v>79575.360881154003</v>
      </c>
      <c r="AQ3" s="2">
        <v>136329.66363444601</v>
      </c>
      <c r="AR3" s="2">
        <v>100517.70028918701</v>
      </c>
      <c r="AS3" s="2">
        <v>148440.130977742</v>
      </c>
      <c r="AT3" s="2">
        <v>69903.748388943699</v>
      </c>
      <c r="AU3" s="2">
        <v>108394.809870474</v>
      </c>
      <c r="AV3" s="2">
        <v>66897.617375493704</v>
      </c>
      <c r="AW3" s="2">
        <v>86474.618393164899</v>
      </c>
      <c r="AX3" s="2">
        <v>73692.252252297898</v>
      </c>
      <c r="AY3" s="2">
        <v>85944.718882148096</v>
      </c>
      <c r="AZ3" s="2">
        <v>76249.441453235399</v>
      </c>
      <c r="BA3" s="2">
        <v>81800.180003761503</v>
      </c>
      <c r="BB3" s="2">
        <v>78580.077540216094</v>
      </c>
      <c r="BC3" s="2">
        <v>83481.690185331099</v>
      </c>
      <c r="BD3" s="2">
        <v>87142.586396496801</v>
      </c>
      <c r="BE3" s="2">
        <v>82105.412852697802</v>
      </c>
      <c r="BF3" s="2">
        <v>56483.680002538102</v>
      </c>
      <c r="BG3" s="2">
        <v>73703.236720657398</v>
      </c>
      <c r="BH3" s="2">
        <v>72620.828741075806</v>
      </c>
      <c r="BI3" s="2">
        <v>74814.199416614094</v>
      </c>
      <c r="BJ3" s="2">
        <v>66081.428190775405</v>
      </c>
      <c r="BK3" s="2">
        <v>76579.396413413197</v>
      </c>
      <c r="BL3" s="2">
        <v>84026.5955782534</v>
      </c>
      <c r="BM3" s="2">
        <v>92463.513283546199</v>
      </c>
      <c r="BN3" s="2">
        <v>58912.977198713801</v>
      </c>
      <c r="BO3" s="2">
        <v>66061.728400980297</v>
      </c>
      <c r="BP3" s="2">
        <v>80777.578085587505</v>
      </c>
      <c r="BQ3" s="2">
        <v>98593.494139654402</v>
      </c>
      <c r="BR3" s="2">
        <v>91531.524414510204</v>
      </c>
      <c r="BS3" s="2">
        <v>92456.599703724001</v>
      </c>
      <c r="BT3" s="2">
        <v>75109.961073356506</v>
      </c>
      <c r="BU3" s="2">
        <v>108838.689448495</v>
      </c>
      <c r="BV3" s="2">
        <v>76809.715395516803</v>
      </c>
      <c r="BW3" s="2">
        <v>78494.424964002901</v>
      </c>
      <c r="BX3" s="2">
        <v>72876.847704829299</v>
      </c>
      <c r="BY3" s="2">
        <v>69506.0564623112</v>
      </c>
      <c r="BZ3" s="2">
        <v>86432.452860022793</v>
      </c>
      <c r="CA3">
        <f t="shared" si="8"/>
        <v>-0.15574935824011665</v>
      </c>
      <c r="CB3">
        <f t="shared" si="9"/>
        <v>-2.3522444673147583E-2</v>
      </c>
      <c r="CC3">
        <f t="shared" si="10"/>
        <v>0.17129896949689874</v>
      </c>
      <c r="CD3">
        <f t="shared" si="11"/>
        <v>-9.6188531747195119E-2</v>
      </c>
      <c r="CE3" s="3">
        <f t="shared" si="12"/>
        <v>0.42677977360788444</v>
      </c>
      <c r="CF3" s="3">
        <f t="shared" si="13"/>
        <v>0.89549379343202651</v>
      </c>
      <c r="CG3" s="3">
        <f t="shared" si="14"/>
        <v>7.6200861975149567E-2</v>
      </c>
      <c r="CH3" s="3">
        <f t="shared" si="15"/>
        <v>0.90787886275558027</v>
      </c>
      <c r="CI3" s="2">
        <v>36953.788284090202</v>
      </c>
      <c r="CJ3" s="2">
        <v>38408.586451951996</v>
      </c>
      <c r="CK3" s="2">
        <v>49058.4849938021</v>
      </c>
      <c r="CL3" s="2">
        <v>45550.831913379203</v>
      </c>
      <c r="CM3" s="2">
        <v>81532.853504336701</v>
      </c>
      <c r="CN3" s="2">
        <v>87817.789697620305</v>
      </c>
      <c r="CO3" s="2">
        <v>83922.244798497297</v>
      </c>
      <c r="CP3" s="2">
        <v>90794.703815060493</v>
      </c>
      <c r="CQ3" s="2">
        <v>89489.114334460304</v>
      </c>
      <c r="CR3" s="2">
        <v>83700.4400937764</v>
      </c>
      <c r="CS3" s="2">
        <v>84510.020393571001</v>
      </c>
      <c r="CT3" s="2">
        <v>84412.504815241802</v>
      </c>
      <c r="CU3" s="2">
        <v>288.001754589585</v>
      </c>
      <c r="CV3" s="2">
        <v>280.44332954067897</v>
      </c>
      <c r="CW3" s="2">
        <v>278.93068185949397</v>
      </c>
      <c r="CX3" s="2">
        <v>351.08306130363701</v>
      </c>
      <c r="CY3" s="2">
        <v>375.36952625336801</v>
      </c>
      <c r="CZ3" s="1">
        <v>351.77539195825801</v>
      </c>
    </row>
    <row r="4" spans="1:104" x14ac:dyDescent="0.2">
      <c r="A4">
        <v>7282</v>
      </c>
      <c r="B4" s="2">
        <v>98</v>
      </c>
      <c r="C4" s="2" t="s">
        <v>8</v>
      </c>
      <c r="D4" s="2" t="s">
        <v>82</v>
      </c>
      <c r="E4" s="2" t="s">
        <v>81</v>
      </c>
      <c r="F4" s="2" t="s">
        <v>80</v>
      </c>
      <c r="G4" s="2" t="s">
        <v>80</v>
      </c>
      <c r="H4" s="2">
        <v>2</v>
      </c>
      <c r="I4" s="2" t="s">
        <v>79</v>
      </c>
      <c r="J4" s="2">
        <v>715.51552000000004</v>
      </c>
      <c r="K4" s="2">
        <v>715.51549999999997</v>
      </c>
      <c r="L4" s="2">
        <v>714.50714660000006</v>
      </c>
      <c r="M4" s="2">
        <v>4.83</v>
      </c>
      <c r="N4" s="2">
        <v>4.83</v>
      </c>
      <c r="O4" s="2">
        <v>0.960620525059666</v>
      </c>
      <c r="P4" s="5" t="s">
        <v>3</v>
      </c>
      <c r="Q4" s="2">
        <v>5.0279999999999996</v>
      </c>
      <c r="R4" s="2">
        <v>1</v>
      </c>
      <c r="S4" s="2" t="s">
        <v>2</v>
      </c>
      <c r="T4" s="2" t="s">
        <v>1</v>
      </c>
      <c r="U4">
        <f t="shared" si="0"/>
        <v>5.373967951988406E-3</v>
      </c>
      <c r="V4">
        <f t="shared" si="1"/>
        <v>0.12126268822903774</v>
      </c>
      <c r="W4">
        <f t="shared" si="2"/>
        <v>0.34637307710975862</v>
      </c>
      <c r="X4">
        <f t="shared" si="3"/>
        <v>0.46523560335331343</v>
      </c>
      <c r="Y4">
        <f t="shared" si="4"/>
        <v>0.83801495753111332</v>
      </c>
      <c r="Z4">
        <f t="shared" si="5"/>
        <v>0.90626276726631794</v>
      </c>
      <c r="AA4">
        <f t="shared" si="6"/>
        <v>0.23325051497372343</v>
      </c>
      <c r="AB4">
        <f t="shared" si="7"/>
        <v>2.823996413985972E-2</v>
      </c>
      <c r="AC4" s="2">
        <v>185672.813575646</v>
      </c>
      <c r="AD4" s="2">
        <v>270314.62510994199</v>
      </c>
      <c r="AE4" s="2">
        <v>245179.14446053599</v>
      </c>
      <c r="AF4" s="2">
        <v>217366.84762487601</v>
      </c>
      <c r="AG4" s="2">
        <v>188934.117085871</v>
      </c>
      <c r="AH4" s="2">
        <v>254544.40679897199</v>
      </c>
      <c r="AI4" s="2">
        <v>218178.03830826699</v>
      </c>
      <c r="AJ4" s="2">
        <v>237414.25724435999</v>
      </c>
      <c r="AK4" s="2">
        <v>212626.75843999299</v>
      </c>
      <c r="AL4" s="2">
        <v>204396.05036496301</v>
      </c>
      <c r="AM4" s="2">
        <v>295436.63314697001</v>
      </c>
      <c r="AN4" s="2">
        <v>157638.691749816</v>
      </c>
      <c r="AO4" s="2">
        <v>191859.19895408599</v>
      </c>
      <c r="AP4" s="2">
        <v>243494.05696995801</v>
      </c>
      <c r="AQ4" s="2">
        <v>236426.96843175101</v>
      </c>
      <c r="AR4" s="2">
        <v>276351.60608842399</v>
      </c>
      <c r="AS4" s="2">
        <v>302254.40615013498</v>
      </c>
      <c r="AT4" s="2">
        <v>185664.56686169701</v>
      </c>
      <c r="AU4" s="2">
        <v>309108.300673121</v>
      </c>
      <c r="AV4" s="2">
        <v>221006.95969066201</v>
      </c>
      <c r="AW4" s="2">
        <v>414394.60669807601</v>
      </c>
      <c r="AX4" s="2">
        <v>221293.82729061399</v>
      </c>
      <c r="AY4" s="2">
        <v>352349.088826044</v>
      </c>
      <c r="AZ4" s="2">
        <v>300084.23392449698</v>
      </c>
      <c r="BA4" s="2">
        <v>299310.22961957997</v>
      </c>
      <c r="BB4" s="2">
        <v>258788.15234691399</v>
      </c>
      <c r="BC4" s="2">
        <v>237206.94770078099</v>
      </c>
      <c r="BD4" s="2">
        <v>237765.87849020699</v>
      </c>
      <c r="BE4" s="2">
        <v>242993.50434513099</v>
      </c>
      <c r="BF4" s="2">
        <v>182966.72642356501</v>
      </c>
      <c r="BG4" s="2">
        <v>188377.301840147</v>
      </c>
      <c r="BH4" s="2">
        <v>224829.201167836</v>
      </c>
      <c r="BI4" s="2">
        <v>163729.243012853</v>
      </c>
      <c r="BJ4" s="2">
        <v>191148.743870796</v>
      </c>
      <c r="BK4" s="2">
        <v>180739.12055552201</v>
      </c>
      <c r="BL4" s="2">
        <v>200561.934226674</v>
      </c>
      <c r="BM4" s="2">
        <v>184724.47992544199</v>
      </c>
      <c r="BN4" s="2">
        <v>169239.307723715</v>
      </c>
      <c r="BO4" s="2">
        <v>198032.170679934</v>
      </c>
      <c r="BP4" s="2">
        <v>217690.16083745399</v>
      </c>
      <c r="BQ4" s="2">
        <v>320611.52098582097</v>
      </c>
      <c r="BR4" s="2">
        <v>261678.36048771601</v>
      </c>
      <c r="BS4" s="2">
        <v>250856.55700923901</v>
      </c>
      <c r="BT4" s="2">
        <v>243053.309866039</v>
      </c>
      <c r="BU4" s="2">
        <v>327170.70303599501</v>
      </c>
      <c r="BV4" s="2">
        <v>254925.266713374</v>
      </c>
      <c r="BW4" s="2">
        <v>230349.80099547101</v>
      </c>
      <c r="BX4" s="2">
        <v>239544.181453075</v>
      </c>
      <c r="BY4" s="2">
        <v>208005.58175705501</v>
      </c>
      <c r="BZ4" s="2">
        <v>281094.34084579302</v>
      </c>
      <c r="CA4">
        <f t="shared" si="8"/>
        <v>-0.33591654975487839</v>
      </c>
      <c r="CB4">
        <f t="shared" si="9"/>
        <v>-0.26380687268912606</v>
      </c>
      <c r="CC4">
        <f t="shared" si="10"/>
        <v>0.13825293512068396</v>
      </c>
      <c r="CD4">
        <f t="shared" si="11"/>
        <v>1.0750080300596114E-2</v>
      </c>
      <c r="CE4" s="3">
        <f t="shared" si="12"/>
        <v>3.2007887791442056E-2</v>
      </c>
      <c r="CF4" s="3">
        <f t="shared" si="13"/>
        <v>3.737344359769304E-2</v>
      </c>
      <c r="CG4" s="3">
        <f t="shared" si="14"/>
        <v>5.8096001758094831E-2</v>
      </c>
      <c r="CH4" s="3">
        <f t="shared" si="15"/>
        <v>0.55809894484206124</v>
      </c>
      <c r="CI4" s="2">
        <v>127884.902195407</v>
      </c>
      <c r="CJ4" s="2">
        <v>124094.84713465199</v>
      </c>
      <c r="CK4" s="2">
        <v>188310.544642539</v>
      </c>
      <c r="CL4" s="2">
        <v>178844.76842638699</v>
      </c>
      <c r="CM4" s="2">
        <v>241502.35874940801</v>
      </c>
      <c r="CN4" s="2">
        <v>242381.85689892501</v>
      </c>
      <c r="CO4" s="2">
        <v>243023.75958998399</v>
      </c>
      <c r="CP4" s="2">
        <v>237811.99434308399</v>
      </c>
      <c r="CQ4" s="2">
        <v>240913.80143828501</v>
      </c>
      <c r="CR4" s="2">
        <v>238030.174166852</v>
      </c>
      <c r="CS4" s="2">
        <v>241841.431862578</v>
      </c>
      <c r="CT4" s="2">
        <v>243626.62122524099</v>
      </c>
      <c r="CU4" s="2">
        <v>189.335935551549</v>
      </c>
      <c r="CV4" s="2">
        <v>180.58171386060201</v>
      </c>
      <c r="CW4" s="2">
        <v>192.92946658159701</v>
      </c>
      <c r="CX4" s="2">
        <v>207.470397777221</v>
      </c>
      <c r="CY4" s="2">
        <v>211.76185911735399</v>
      </c>
      <c r="CZ4" s="1">
        <v>231.71825770217299</v>
      </c>
    </row>
    <row r="5" spans="1:104" x14ac:dyDescent="0.2">
      <c r="A5">
        <v>7281</v>
      </c>
      <c r="B5" s="2">
        <v>97</v>
      </c>
      <c r="C5" s="2" t="s">
        <v>8</v>
      </c>
      <c r="D5" s="2" t="s">
        <v>78</v>
      </c>
      <c r="E5" s="2" t="s">
        <v>77</v>
      </c>
      <c r="F5" s="2" t="s">
        <v>76</v>
      </c>
      <c r="G5" s="2" t="s">
        <v>76</v>
      </c>
      <c r="H5" s="2">
        <v>2</v>
      </c>
      <c r="I5" s="2" t="s">
        <v>75</v>
      </c>
      <c r="J5" s="2">
        <v>745.56299000000001</v>
      </c>
      <c r="K5" s="2">
        <v>745.56299999999999</v>
      </c>
      <c r="L5" s="2">
        <v>744.55461660000003</v>
      </c>
      <c r="M5" s="2">
        <v>6.4379999999999997</v>
      </c>
      <c r="N5" s="2">
        <v>6.44</v>
      </c>
      <c r="O5" s="2">
        <v>1.2808273667462213</v>
      </c>
      <c r="P5" s="5" t="s">
        <v>3</v>
      </c>
      <c r="Q5" s="2">
        <v>5.0279999999999996</v>
      </c>
      <c r="R5" s="2">
        <v>1</v>
      </c>
      <c r="S5" s="2" t="s">
        <v>2</v>
      </c>
      <c r="T5" s="2" t="s">
        <v>1</v>
      </c>
      <c r="U5">
        <f t="shared" si="0"/>
        <v>0.26394650509291306</v>
      </c>
      <c r="V5">
        <f t="shared" si="1"/>
        <v>0.57362443786058959</v>
      </c>
      <c r="W5">
        <f t="shared" si="2"/>
        <v>0.71414495201379968</v>
      </c>
      <c r="X5">
        <f t="shared" si="3"/>
        <v>0.39551856072366726</v>
      </c>
      <c r="Y5">
        <f t="shared" si="4"/>
        <v>2.3532709154632944E-2</v>
      </c>
      <c r="Z5">
        <f t="shared" si="5"/>
        <v>0.11628296516377747</v>
      </c>
      <c r="AA5">
        <f t="shared" si="6"/>
        <v>6.0893900198124649E-2</v>
      </c>
      <c r="AB5">
        <f t="shared" si="7"/>
        <v>5.0717020243707979E-3</v>
      </c>
      <c r="AC5" s="2">
        <v>77948.662873125693</v>
      </c>
      <c r="AD5" s="2">
        <v>88298.626448313196</v>
      </c>
      <c r="AE5" s="2">
        <v>77483.353565401601</v>
      </c>
      <c r="AF5" s="2">
        <v>89978.5862864644</v>
      </c>
      <c r="AG5" s="2">
        <v>73912.360300981498</v>
      </c>
      <c r="AH5" s="2">
        <v>91202.163418325305</v>
      </c>
      <c r="AI5" s="2">
        <v>113234.16141699599</v>
      </c>
      <c r="AJ5" s="2">
        <v>90203.721393434404</v>
      </c>
      <c r="AK5" s="2">
        <v>123253.94970692899</v>
      </c>
      <c r="AL5" s="2">
        <v>93597.550899005102</v>
      </c>
      <c r="AM5" s="2">
        <v>251274.67856070801</v>
      </c>
      <c r="AN5" s="2">
        <v>90973.293891160807</v>
      </c>
      <c r="AO5" s="2">
        <v>87745.301698466399</v>
      </c>
      <c r="AP5" s="2">
        <v>116007.70409485701</v>
      </c>
      <c r="AQ5" s="2">
        <v>127989.421478077</v>
      </c>
      <c r="AR5" s="2">
        <v>127875.610916112</v>
      </c>
      <c r="AS5" s="2">
        <v>160356.39592740199</v>
      </c>
      <c r="AT5" s="2">
        <v>79360.028700615105</v>
      </c>
      <c r="AU5" s="2">
        <v>129513.764485754</v>
      </c>
      <c r="AV5" s="2">
        <v>82336.775837158799</v>
      </c>
      <c r="AW5" s="2">
        <v>110355.584105947</v>
      </c>
      <c r="AX5" s="2">
        <v>87358.0613078436</v>
      </c>
      <c r="AY5" s="2">
        <v>98234.868468396904</v>
      </c>
      <c r="AZ5" s="2">
        <v>102534.878314149</v>
      </c>
      <c r="BA5" s="2">
        <v>107267.08530151501</v>
      </c>
      <c r="BB5" s="2">
        <v>110038.1442545</v>
      </c>
      <c r="BC5" s="2">
        <v>105833.06435614701</v>
      </c>
      <c r="BD5" s="2">
        <v>111910.04928502</v>
      </c>
      <c r="BE5" s="2">
        <v>116005.981282525</v>
      </c>
      <c r="BF5" s="2">
        <v>75540.045076252703</v>
      </c>
      <c r="BG5" s="2">
        <v>81589.834257045703</v>
      </c>
      <c r="BH5" s="2">
        <v>100248.12339646299</v>
      </c>
      <c r="BI5" s="2">
        <v>77853.7527774997</v>
      </c>
      <c r="BJ5" s="2">
        <v>91183.263477680899</v>
      </c>
      <c r="BK5" s="2">
        <v>88854.209889601101</v>
      </c>
      <c r="BL5" s="2">
        <v>106381.240232293</v>
      </c>
      <c r="BM5" s="2">
        <v>111010.24346659701</v>
      </c>
      <c r="BN5" s="2">
        <v>88449.535692786594</v>
      </c>
      <c r="BO5" s="2">
        <v>87208.519711874207</v>
      </c>
      <c r="BP5" s="2">
        <v>129608.39040303499</v>
      </c>
      <c r="BQ5" s="2">
        <v>115983.767514694</v>
      </c>
      <c r="BR5" s="2">
        <v>118261.243192651</v>
      </c>
      <c r="BS5" s="2">
        <v>110566.517254936</v>
      </c>
      <c r="BT5" s="2">
        <v>89433.200199932602</v>
      </c>
      <c r="BU5" s="2">
        <v>144757.112488196</v>
      </c>
      <c r="BV5" s="2">
        <v>103216.326361335</v>
      </c>
      <c r="BW5" s="2">
        <v>108431.398592889</v>
      </c>
      <c r="BX5" s="2">
        <v>100111.173715418</v>
      </c>
      <c r="BY5" s="2">
        <v>99337.352401767901</v>
      </c>
      <c r="BZ5" s="2">
        <v>124337.24183677199</v>
      </c>
      <c r="CA5">
        <f t="shared" si="8"/>
        <v>-0.30849167704102887</v>
      </c>
      <c r="CB5">
        <f t="shared" si="9"/>
        <v>-4.8759952899891663E-2</v>
      </c>
      <c r="CC5">
        <f t="shared" si="10"/>
        <v>7.5919192834129484E-2</v>
      </c>
      <c r="CD5">
        <f t="shared" si="11"/>
        <v>-9.2332525785643133E-2</v>
      </c>
      <c r="CE5" s="3">
        <f t="shared" si="12"/>
        <v>8.9775053231836863E-2</v>
      </c>
      <c r="CF5" s="3">
        <f t="shared" si="13"/>
        <v>0.95188253118632615</v>
      </c>
      <c r="CG5" s="3">
        <f t="shared" si="14"/>
        <v>0.32785730610367486</v>
      </c>
      <c r="CH5" s="3">
        <f t="shared" si="15"/>
        <v>0.71774570747972188</v>
      </c>
      <c r="CI5" s="2">
        <v>49594.164540967096</v>
      </c>
      <c r="CJ5" s="2">
        <v>46346.544290656399</v>
      </c>
      <c r="CK5" s="2">
        <v>61846.182795028202</v>
      </c>
      <c r="CL5" s="2">
        <v>56983.984716453298</v>
      </c>
      <c r="CM5" s="2">
        <v>108310.31299195001</v>
      </c>
      <c r="CN5" s="2">
        <v>104828.033901282</v>
      </c>
      <c r="CO5" s="2">
        <v>106037.966775571</v>
      </c>
      <c r="CP5" s="2">
        <v>104323.388299495</v>
      </c>
      <c r="CQ5" s="2">
        <v>105073.971713486</v>
      </c>
      <c r="CR5" s="2">
        <v>103573.677023357</v>
      </c>
      <c r="CS5" s="2">
        <v>112892.296899696</v>
      </c>
      <c r="CT5" s="2">
        <v>103262.885614053</v>
      </c>
      <c r="CU5" s="2">
        <v>240.620264444312</v>
      </c>
      <c r="CV5" s="2">
        <v>224.934092507305</v>
      </c>
      <c r="CW5" s="2">
        <v>222.47715393969401</v>
      </c>
      <c r="CX5" s="2">
        <v>286.33539713277798</v>
      </c>
      <c r="CY5" s="2">
        <v>258.85308995003697</v>
      </c>
      <c r="CZ5" s="1">
        <v>246.618887066789</v>
      </c>
    </row>
    <row r="6" spans="1:104" x14ac:dyDescent="0.2">
      <c r="A6">
        <v>7280</v>
      </c>
      <c r="B6" s="2">
        <v>96</v>
      </c>
      <c r="C6" s="2" t="s">
        <v>8</v>
      </c>
      <c r="D6" s="2" t="s">
        <v>74</v>
      </c>
      <c r="E6" s="2" t="s">
        <v>73</v>
      </c>
      <c r="F6" s="2" t="s">
        <v>72</v>
      </c>
      <c r="G6" s="2" t="s">
        <v>72</v>
      </c>
      <c r="H6" s="2">
        <v>2</v>
      </c>
      <c r="I6" s="2" t="s">
        <v>68</v>
      </c>
      <c r="J6" s="2">
        <v>743.54772000000003</v>
      </c>
      <c r="K6" s="2">
        <v>743.54769999999996</v>
      </c>
      <c r="L6" s="2">
        <v>742.53934660000004</v>
      </c>
      <c r="M6" s="2">
        <v>5.7560000000000002</v>
      </c>
      <c r="N6" s="2">
        <v>5.76</v>
      </c>
      <c r="O6" s="2">
        <v>1.1455847255369929</v>
      </c>
      <c r="P6" s="5" t="s">
        <v>3</v>
      </c>
      <c r="Q6" s="2">
        <v>5.0279999999999996</v>
      </c>
      <c r="R6" s="2">
        <v>1</v>
      </c>
      <c r="S6" s="2" t="s">
        <v>2</v>
      </c>
      <c r="T6" s="2" t="s">
        <v>1</v>
      </c>
      <c r="U6">
        <f t="shared" si="0"/>
        <v>0.32099535702442211</v>
      </c>
      <c r="V6">
        <f t="shared" si="1"/>
        <v>0.39695642644237444</v>
      </c>
      <c r="W6">
        <f t="shared" si="2"/>
        <v>0.67142294138061187</v>
      </c>
      <c r="X6">
        <f t="shared" si="3"/>
        <v>0.75576513498740983</v>
      </c>
      <c r="Y6">
        <f t="shared" si="4"/>
        <v>0.22950437082171476</v>
      </c>
      <c r="Z6">
        <f t="shared" si="5"/>
        <v>0.25079768152071807</v>
      </c>
      <c r="AA6">
        <f t="shared" si="6"/>
        <v>1.6696726866825738E-2</v>
      </c>
      <c r="AB6">
        <f t="shared" si="7"/>
        <v>5.3085670351666258E-3</v>
      </c>
      <c r="AC6" s="2">
        <v>1100299.88812042</v>
      </c>
      <c r="AD6" s="2">
        <v>1490687.2898800001</v>
      </c>
      <c r="AE6" s="2">
        <v>1326367.2568219299</v>
      </c>
      <c r="AF6" s="2">
        <v>1108803.4389259799</v>
      </c>
      <c r="AG6" s="2">
        <v>1085346.75454663</v>
      </c>
      <c r="AH6" s="2">
        <v>1618693.39336969</v>
      </c>
      <c r="AI6" s="2">
        <v>1273749.9630826199</v>
      </c>
      <c r="AJ6" s="2">
        <v>1385108.5023634899</v>
      </c>
      <c r="AK6" s="2">
        <v>1423910.82167238</v>
      </c>
      <c r="AL6" s="2">
        <v>1144051.1882341399</v>
      </c>
      <c r="AM6" s="2">
        <v>1770476.0892107701</v>
      </c>
      <c r="AN6" s="2">
        <v>1052966.7463076001</v>
      </c>
      <c r="AO6" s="2">
        <v>1228191.4364121</v>
      </c>
      <c r="AP6" s="2">
        <v>1459991.59481383</v>
      </c>
      <c r="AQ6" s="2">
        <v>1509812.7467527799</v>
      </c>
      <c r="AR6" s="2">
        <v>1958387.46042149</v>
      </c>
      <c r="AS6" s="2">
        <v>1765928.0679276199</v>
      </c>
      <c r="AT6" s="2">
        <v>1263274.52314661</v>
      </c>
      <c r="AU6" s="2">
        <v>2055542.07722493</v>
      </c>
      <c r="AV6" s="2">
        <v>1545190.8123146801</v>
      </c>
      <c r="AW6" s="2">
        <v>2211052.17898509</v>
      </c>
      <c r="AX6" s="2">
        <v>1344143.8961414499</v>
      </c>
      <c r="AY6" s="2">
        <v>1972213.0693800901</v>
      </c>
      <c r="AZ6" s="2">
        <v>1804851.2244954801</v>
      </c>
      <c r="BA6" s="2">
        <v>1872244.39686562</v>
      </c>
      <c r="BB6" s="2">
        <v>1751951.0801554199</v>
      </c>
      <c r="BC6" s="2">
        <v>1845580.5967454601</v>
      </c>
      <c r="BD6" s="2">
        <v>1604396.90862963</v>
      </c>
      <c r="BE6" s="2">
        <v>1726126.39269267</v>
      </c>
      <c r="BF6" s="2">
        <v>1307575.25456558</v>
      </c>
      <c r="BG6" s="2">
        <v>1334387.1443036699</v>
      </c>
      <c r="BH6" s="2">
        <v>1573304.2459599201</v>
      </c>
      <c r="BI6" s="2">
        <v>1119731.0728625699</v>
      </c>
      <c r="BJ6" s="2">
        <v>1345336.13866742</v>
      </c>
      <c r="BK6" s="2">
        <v>1311125.70028795</v>
      </c>
      <c r="BL6" s="2">
        <v>1387762.7119739701</v>
      </c>
      <c r="BM6" s="2">
        <v>1304229.3776755999</v>
      </c>
      <c r="BN6" s="2">
        <v>1132219.4922088401</v>
      </c>
      <c r="BO6" s="2">
        <v>1516697.51089213</v>
      </c>
      <c r="BP6" s="2">
        <v>1675678.28115937</v>
      </c>
      <c r="BQ6" s="2">
        <v>1806318.34563106</v>
      </c>
      <c r="BR6" s="2">
        <v>2014852.26292323</v>
      </c>
      <c r="BS6" s="2">
        <v>1915198.73880045</v>
      </c>
      <c r="BT6" s="2">
        <v>1631504.0325978301</v>
      </c>
      <c r="BU6" s="2">
        <v>2342278.66313915</v>
      </c>
      <c r="BV6" s="2">
        <v>1852940.4922838099</v>
      </c>
      <c r="BW6" s="2">
        <v>1990376.34590315</v>
      </c>
      <c r="BX6" s="2">
        <v>1745786.3987098101</v>
      </c>
      <c r="BY6" s="2">
        <v>1642770.99118248</v>
      </c>
      <c r="BZ6" s="2">
        <v>2227929.4671450602</v>
      </c>
      <c r="CA6">
        <f t="shared" si="8"/>
        <v>-0.37136081248436159</v>
      </c>
      <c r="CB6">
        <f t="shared" si="9"/>
        <v>-0.31477719897803313</v>
      </c>
      <c r="CC6">
        <f t="shared" si="10"/>
        <v>0.1499560000538297</v>
      </c>
      <c r="CD6">
        <f t="shared" si="11"/>
        <v>0.10227844224865361</v>
      </c>
      <c r="CE6" s="3">
        <f t="shared" si="12"/>
        <v>2.9963495326070406E-2</v>
      </c>
      <c r="CF6" s="3">
        <f t="shared" si="13"/>
        <v>0.10021523659864945</v>
      </c>
      <c r="CG6" s="3">
        <f t="shared" si="14"/>
        <v>8.6239087209879425E-2</v>
      </c>
      <c r="CH6" s="3">
        <f t="shared" si="15"/>
        <v>0.11412206186434613</v>
      </c>
      <c r="CI6" s="2">
        <v>943368.73673697596</v>
      </c>
      <c r="CJ6" s="2">
        <v>977186.77593354904</v>
      </c>
      <c r="CK6" s="2">
        <v>1245071.1935208</v>
      </c>
      <c r="CL6" s="2">
        <v>1286746.16963822</v>
      </c>
      <c r="CM6" s="2">
        <v>1531435.88093536</v>
      </c>
      <c r="CN6" s="2">
        <v>1726401.4377242399</v>
      </c>
      <c r="CO6" s="2">
        <v>1559602.1274884499</v>
      </c>
      <c r="CP6" s="2">
        <v>1565214.2787134801</v>
      </c>
      <c r="CQ6" s="2">
        <v>1563174.53765944</v>
      </c>
      <c r="CR6" s="2">
        <v>1588180.7871850799</v>
      </c>
      <c r="CS6" s="2">
        <v>1601077.0139768501</v>
      </c>
      <c r="CT6" s="2">
        <v>1617093.9127921499</v>
      </c>
      <c r="CU6" s="2">
        <v>211.06064636916801</v>
      </c>
      <c r="CV6" s="2">
        <v>259.366658540716</v>
      </c>
      <c r="CW6" s="2">
        <v>225.382043391107</v>
      </c>
      <c r="CX6" s="2">
        <v>263.23190695752601</v>
      </c>
      <c r="CY6" s="2">
        <v>268.13735858813402</v>
      </c>
      <c r="CZ6" s="1">
        <v>281.66705775486002</v>
      </c>
    </row>
    <row r="7" spans="1:104" x14ac:dyDescent="0.2">
      <c r="A7">
        <v>7279</v>
      </c>
      <c r="B7" s="2">
        <v>95</v>
      </c>
      <c r="C7" s="2" t="s">
        <v>8</v>
      </c>
      <c r="D7" s="2" t="s">
        <v>71</v>
      </c>
      <c r="E7" s="2" t="s">
        <v>70</v>
      </c>
      <c r="F7" s="2" t="s">
        <v>69</v>
      </c>
      <c r="G7" s="2" t="s">
        <v>69</v>
      </c>
      <c r="H7" s="2">
        <v>2</v>
      </c>
      <c r="I7" s="2" t="s">
        <v>68</v>
      </c>
      <c r="J7" s="2">
        <v>743.54772000000003</v>
      </c>
      <c r="K7" s="2">
        <v>743.54769999999996</v>
      </c>
      <c r="L7" s="2">
        <v>742.53934660000004</v>
      </c>
      <c r="M7" s="2">
        <v>5.5720000000000001</v>
      </c>
      <c r="N7" s="2">
        <v>5.57</v>
      </c>
      <c r="O7" s="2">
        <v>1.1077963404932381</v>
      </c>
      <c r="P7" s="5" t="s">
        <v>3</v>
      </c>
      <c r="Q7" s="2">
        <v>5.0279999999999996</v>
      </c>
      <c r="R7" s="2">
        <v>1</v>
      </c>
      <c r="S7" s="2" t="s">
        <v>2</v>
      </c>
      <c r="T7" s="2" t="s">
        <v>1</v>
      </c>
      <c r="U7">
        <f t="shared" si="0"/>
        <v>8.6153113592241898E-2</v>
      </c>
      <c r="V7">
        <f t="shared" si="1"/>
        <v>1.0745072126501956</v>
      </c>
      <c r="W7">
        <f t="shared" si="2"/>
        <v>0.23708348560014222</v>
      </c>
      <c r="X7">
        <f t="shared" si="3"/>
        <v>9.1746245322423176E-2</v>
      </c>
      <c r="Y7">
        <f t="shared" si="4"/>
        <v>0.62258369195422758</v>
      </c>
      <c r="Z7">
        <f t="shared" si="5"/>
        <v>0.14038816389953762</v>
      </c>
      <c r="AA7">
        <f t="shared" si="6"/>
        <v>0.36893807478705948</v>
      </c>
      <c r="AB7">
        <f t="shared" si="7"/>
        <v>0.71743114453044976</v>
      </c>
      <c r="AC7" s="2">
        <v>17616.4416276876</v>
      </c>
      <c r="AD7" s="2">
        <v>54195.350822890199</v>
      </c>
      <c r="AE7" s="2">
        <v>39850.931666322896</v>
      </c>
      <c r="AF7" s="2">
        <v>93858.360167699298</v>
      </c>
      <c r="AG7" s="2">
        <v>37326.544756867297</v>
      </c>
      <c r="AH7" s="2">
        <v>35634.014091797697</v>
      </c>
      <c r="AI7" s="2">
        <v>116997.305325979</v>
      </c>
      <c r="AJ7" s="2">
        <v>38953.099167778702</v>
      </c>
      <c r="AK7" s="2">
        <v>59609.303876946396</v>
      </c>
      <c r="AL7" s="2">
        <v>42303.193179341702</v>
      </c>
      <c r="AM7" s="2">
        <v>314681.14985957998</v>
      </c>
      <c r="AN7" s="2">
        <v>83926.1654214593</v>
      </c>
      <c r="AO7" s="2">
        <v>37573.724616615902</v>
      </c>
      <c r="AP7" s="2">
        <v>57301.215242867598</v>
      </c>
      <c r="AQ7" s="2">
        <v>181747.20069252499</v>
      </c>
      <c r="AR7" s="2">
        <v>46968.611298729396</v>
      </c>
      <c r="AS7" s="2">
        <v>147016.16765177701</v>
      </c>
      <c r="AT7" s="2">
        <v>37927.747795696298</v>
      </c>
      <c r="AU7" s="2">
        <v>85169.372164217901</v>
      </c>
      <c r="AV7" s="2">
        <v>41272.408372031903</v>
      </c>
      <c r="AW7" s="2">
        <v>47031.9695109276</v>
      </c>
      <c r="AX7" s="2">
        <v>42467.515205676398</v>
      </c>
      <c r="AY7" s="2">
        <v>50819.587887669797</v>
      </c>
      <c r="AZ7" s="2">
        <v>37073.161493216903</v>
      </c>
      <c r="BA7" s="2">
        <v>41166.077516230202</v>
      </c>
      <c r="BB7" s="2">
        <v>38623.1120562203</v>
      </c>
      <c r="BC7" s="2">
        <v>51005.975339988203</v>
      </c>
      <c r="BD7" s="2">
        <v>52452.4294728436</v>
      </c>
      <c r="BE7" s="2">
        <v>41541.810730266101</v>
      </c>
      <c r="BF7" s="2">
        <v>21151.047148985199</v>
      </c>
      <c r="BG7" s="2">
        <v>39091.235300438697</v>
      </c>
      <c r="BH7" s="2">
        <v>29175.428479637099</v>
      </c>
      <c r="BI7" s="2">
        <v>41051.2527242777</v>
      </c>
      <c r="BJ7" s="2">
        <v>32175.718274300802</v>
      </c>
      <c r="BK7" s="2">
        <v>49662.804968210803</v>
      </c>
      <c r="BL7" s="2">
        <v>52547.466527079698</v>
      </c>
      <c r="BM7" s="2">
        <v>59157.146234110398</v>
      </c>
      <c r="BN7" s="2">
        <v>24728.4718576665</v>
      </c>
      <c r="BO7" s="2">
        <v>48222.389174688004</v>
      </c>
      <c r="BP7" s="2">
        <v>37352.779483008402</v>
      </c>
      <c r="BQ7" s="2">
        <v>35902.8388645784</v>
      </c>
      <c r="BR7" s="2">
        <v>63020.240510987103</v>
      </c>
      <c r="BS7" s="2">
        <v>81405.400044027396</v>
      </c>
      <c r="BT7" s="2">
        <v>36508.704165473602</v>
      </c>
      <c r="BU7" s="2">
        <v>50842.7810064804</v>
      </c>
      <c r="BV7" s="2">
        <v>30670.5307835768</v>
      </c>
      <c r="BW7" s="2">
        <v>68644.697435542796</v>
      </c>
      <c r="BX7" s="2">
        <v>24600.022255367399</v>
      </c>
      <c r="BY7" s="2">
        <v>47500.207217665302</v>
      </c>
      <c r="BZ7" s="2">
        <v>39558.855845393897</v>
      </c>
      <c r="CA7">
        <f t="shared" si="8"/>
        <v>-8.7718926793550742E-2</v>
      </c>
      <c r="CB7">
        <f t="shared" si="9"/>
        <v>0.21513902898310514</v>
      </c>
      <c r="CC7">
        <f t="shared" si="10"/>
        <v>0.29147884331609719</v>
      </c>
      <c r="CD7">
        <f t="shared" si="11"/>
        <v>-7.0563402089459326E-2</v>
      </c>
      <c r="CE7" s="3">
        <f t="shared" si="12"/>
        <v>0.69365268507915734</v>
      </c>
      <c r="CF7" s="3">
        <f t="shared" si="13"/>
        <v>0.68766148330181143</v>
      </c>
      <c r="CG7" s="3">
        <f t="shared" si="14"/>
        <v>0.25504133278769725</v>
      </c>
      <c r="CH7" s="3">
        <f t="shared" si="15"/>
        <v>0.89946396222514613</v>
      </c>
      <c r="CI7" s="2">
        <v>42088.487464140198</v>
      </c>
      <c r="CJ7" s="2">
        <v>41370.643626144898</v>
      </c>
      <c r="CK7" s="2">
        <v>39436.222831384301</v>
      </c>
      <c r="CL7" s="2">
        <v>46226.127264420902</v>
      </c>
      <c r="CM7" s="2">
        <v>65950.509586409098</v>
      </c>
      <c r="CN7" s="2">
        <v>65576.740654511101</v>
      </c>
      <c r="CO7" s="2">
        <v>55569.3217303622</v>
      </c>
      <c r="CP7" s="2">
        <v>60176.132835094002</v>
      </c>
      <c r="CQ7" s="2">
        <v>60383.908873465101</v>
      </c>
      <c r="CR7" s="2">
        <v>58941.824596619103</v>
      </c>
      <c r="CS7" s="2">
        <v>64971.675151219999</v>
      </c>
      <c r="CT7" s="2">
        <v>64821.1755487181</v>
      </c>
      <c r="CU7" s="2">
        <v>212.28950282719799</v>
      </c>
      <c r="CV7" s="2">
        <v>210.297481394475</v>
      </c>
      <c r="CW7" s="2">
        <v>209.24839579939299</v>
      </c>
      <c r="CX7" s="2">
        <v>260.578042930614</v>
      </c>
      <c r="CY7" s="2">
        <v>244.03499244644999</v>
      </c>
      <c r="CZ7" s="1">
        <v>268.61022165896702</v>
      </c>
    </row>
    <row r="8" spans="1:104" x14ac:dyDescent="0.2">
      <c r="A8">
        <v>7278</v>
      </c>
      <c r="B8" s="2">
        <v>93</v>
      </c>
      <c r="C8" s="2" t="s">
        <v>8</v>
      </c>
      <c r="D8" s="2" t="s">
        <v>67</v>
      </c>
      <c r="E8" s="2" t="s">
        <v>66</v>
      </c>
      <c r="F8" s="2" t="s">
        <v>65</v>
      </c>
      <c r="G8" s="2" t="s">
        <v>65</v>
      </c>
      <c r="H8" s="2">
        <v>2</v>
      </c>
      <c r="I8" s="2" t="s">
        <v>64</v>
      </c>
      <c r="J8" s="2">
        <v>741.53107999999997</v>
      </c>
      <c r="K8" s="2">
        <v>741.53110000000004</v>
      </c>
      <c r="L8" s="2">
        <v>740.52270659999999</v>
      </c>
      <c r="M8" s="2">
        <v>4.8869999999999996</v>
      </c>
      <c r="N8" s="2">
        <v>4.8899999999999997</v>
      </c>
      <c r="O8" s="2">
        <v>0.97255369928400959</v>
      </c>
      <c r="P8" s="5" t="s">
        <v>3</v>
      </c>
      <c r="Q8" s="2">
        <v>5.0279999999999996</v>
      </c>
      <c r="R8" s="2">
        <v>1</v>
      </c>
      <c r="S8" s="2" t="s">
        <v>2</v>
      </c>
      <c r="T8" s="2" t="s">
        <v>1</v>
      </c>
      <c r="U8">
        <f t="shared" si="0"/>
        <v>0.43126665462949321</v>
      </c>
      <c r="V8">
        <f t="shared" si="1"/>
        <v>0.36436362736784894</v>
      </c>
      <c r="W8">
        <f t="shared" si="2"/>
        <v>0.91674490161171462</v>
      </c>
      <c r="X8">
        <f t="shared" si="3"/>
        <v>0.87966469580765461</v>
      </c>
      <c r="Y8">
        <f t="shared" si="4"/>
        <v>3.1459818247806332E-2</v>
      </c>
      <c r="Z8">
        <f t="shared" si="5"/>
        <v>0.10614283706335352</v>
      </c>
      <c r="AA8">
        <f t="shared" si="6"/>
        <v>1.819031257263457E-4</v>
      </c>
      <c r="AB8">
        <f t="shared" si="7"/>
        <v>8.3520290087885588E-3</v>
      </c>
      <c r="AC8" s="2">
        <v>72284.682726094994</v>
      </c>
      <c r="AD8" s="2">
        <v>92127.590782657906</v>
      </c>
      <c r="AE8" s="2">
        <v>81022.654840751406</v>
      </c>
      <c r="AF8" s="2">
        <v>76320.295521072199</v>
      </c>
      <c r="AG8" s="2">
        <v>65416.409281526103</v>
      </c>
      <c r="AH8" s="2">
        <v>118720.955518049</v>
      </c>
      <c r="AI8" s="2">
        <v>93930.350823340006</v>
      </c>
      <c r="AJ8" s="2">
        <v>102911.579180673</v>
      </c>
      <c r="AK8" s="2">
        <v>108115.83646678001</v>
      </c>
      <c r="AL8" s="2">
        <v>75257.206424689997</v>
      </c>
      <c r="AM8" s="2">
        <v>178406.181281945</v>
      </c>
      <c r="AN8" s="2">
        <v>78062.141726242597</v>
      </c>
      <c r="AO8" s="2">
        <v>87975.560095725596</v>
      </c>
      <c r="AP8" s="2">
        <v>98248.159747892001</v>
      </c>
      <c r="AQ8" s="2">
        <v>111373.661361495</v>
      </c>
      <c r="AR8" s="2">
        <v>144081.346036392</v>
      </c>
      <c r="AS8" s="2">
        <v>148472.09660707699</v>
      </c>
      <c r="AT8" s="2">
        <v>116066.827865664</v>
      </c>
      <c r="AU8" s="2">
        <v>152987.00920944399</v>
      </c>
      <c r="AV8" s="2">
        <v>118607.54774038</v>
      </c>
      <c r="AW8" s="2">
        <v>207616.49879576801</v>
      </c>
      <c r="AX8" s="2">
        <v>91622.647036069597</v>
      </c>
      <c r="AY8" s="2">
        <v>148790.313381157</v>
      </c>
      <c r="AZ8" s="2">
        <v>132326.89039726899</v>
      </c>
      <c r="BA8" s="2">
        <v>140425.34608945</v>
      </c>
      <c r="BB8" s="2">
        <v>105656.95859032799</v>
      </c>
      <c r="BC8" s="2">
        <v>109311.309430625</v>
      </c>
      <c r="BD8" s="2">
        <v>75611.479200183807</v>
      </c>
      <c r="BE8" s="2">
        <v>106506.748229405</v>
      </c>
      <c r="BF8" s="2">
        <v>67155.473812244905</v>
      </c>
      <c r="BG8" s="2">
        <v>95230.448110733501</v>
      </c>
      <c r="BH8" s="2">
        <v>98083.215205088796</v>
      </c>
      <c r="BI8" s="2">
        <v>73786.257062590594</v>
      </c>
      <c r="BJ8" s="2">
        <v>81818.941799962704</v>
      </c>
      <c r="BK8" s="2">
        <v>84027.112520529394</v>
      </c>
      <c r="BL8" s="2">
        <v>95570.777502595505</v>
      </c>
      <c r="BM8" s="2">
        <v>89404.251267030093</v>
      </c>
      <c r="BN8" s="2">
        <v>72230.601071588098</v>
      </c>
      <c r="BO8" s="2">
        <v>109181.6700589</v>
      </c>
      <c r="BP8" s="2">
        <v>99001.071097162494</v>
      </c>
      <c r="BQ8" s="2">
        <v>106793.530802936</v>
      </c>
      <c r="BR8" s="2">
        <v>135804.483336637</v>
      </c>
      <c r="BS8" s="2">
        <v>151240.914693478</v>
      </c>
      <c r="BT8" s="2">
        <v>94481.850374386806</v>
      </c>
      <c r="BU8" s="2">
        <v>150805.02354604201</v>
      </c>
      <c r="BV8" s="2">
        <v>120388.401345306</v>
      </c>
      <c r="BW8" s="2">
        <v>146877.33298933401</v>
      </c>
      <c r="BX8" s="2">
        <v>114174.619057506</v>
      </c>
      <c r="BY8" s="2">
        <v>116035.642535323</v>
      </c>
      <c r="BZ8" s="2">
        <v>154048.793090853</v>
      </c>
      <c r="CA8">
        <f t="shared" si="8"/>
        <v>-0.33046097280160325</v>
      </c>
      <c r="CB8">
        <f t="shared" si="9"/>
        <v>-0.14474632602216264</v>
      </c>
      <c r="CC8">
        <f t="shared" si="10"/>
        <v>0.36214332169517355</v>
      </c>
      <c r="CD8">
        <f t="shared" si="11"/>
        <v>0.18830861771456814</v>
      </c>
      <c r="CE8" s="3">
        <f t="shared" si="12"/>
        <v>0.54673052686164092</v>
      </c>
      <c r="CF8" s="3">
        <f t="shared" si="13"/>
        <v>0.98356411929887821</v>
      </c>
      <c r="CG8" s="3">
        <f t="shared" si="14"/>
        <v>4.3656838773174715E-2</v>
      </c>
      <c r="CH8" s="3">
        <f t="shared" si="15"/>
        <v>1.5374568839097569E-2</v>
      </c>
      <c r="CI8" s="2">
        <v>53952.979437048998</v>
      </c>
      <c r="CJ8" s="2">
        <v>54466.994055446703</v>
      </c>
      <c r="CK8" s="2">
        <v>84956.322627121597</v>
      </c>
      <c r="CL8" s="2">
        <v>93996.249841450495</v>
      </c>
      <c r="CM8" s="2">
        <v>111650.788457125</v>
      </c>
      <c r="CN8" s="2">
        <v>106719.211234512</v>
      </c>
      <c r="CO8" s="2">
        <v>106598.397692981</v>
      </c>
      <c r="CP8" s="2">
        <v>106829.622112372</v>
      </c>
      <c r="CQ8" s="2">
        <v>105001.236227213</v>
      </c>
      <c r="CR8" s="2">
        <v>107191.981207244</v>
      </c>
      <c r="CS8" s="2">
        <v>110073.11244867</v>
      </c>
      <c r="CT8" s="2">
        <v>109074.39872194</v>
      </c>
      <c r="CU8" s="2">
        <v>213.98420552756201</v>
      </c>
      <c r="CV8" s="2">
        <v>214.81650811002501</v>
      </c>
      <c r="CW8" s="2">
        <v>206.07011267948499</v>
      </c>
      <c r="CX8" s="2">
        <v>261.03250881513202</v>
      </c>
      <c r="CY8" s="2">
        <v>252.945564760472</v>
      </c>
      <c r="CZ8" s="1">
        <v>251.15833263688</v>
      </c>
    </row>
    <row r="9" spans="1:104" x14ac:dyDescent="0.2">
      <c r="A9">
        <v>7277</v>
      </c>
      <c r="B9" s="2">
        <v>91</v>
      </c>
      <c r="C9" s="2" t="s">
        <v>8</v>
      </c>
      <c r="D9" s="2" t="s">
        <v>63</v>
      </c>
      <c r="E9" s="2" t="s">
        <v>62</v>
      </c>
      <c r="F9" s="2" t="s">
        <v>61</v>
      </c>
      <c r="G9" s="2" t="s">
        <v>61</v>
      </c>
      <c r="H9" s="2">
        <v>2</v>
      </c>
      <c r="I9" s="2" t="s">
        <v>57</v>
      </c>
      <c r="J9" s="2">
        <v>739.51588000000004</v>
      </c>
      <c r="K9" s="2">
        <v>739.51589999999999</v>
      </c>
      <c r="L9" s="2">
        <v>738.50750660000006</v>
      </c>
      <c r="M9" s="2">
        <v>4.6970000000000001</v>
      </c>
      <c r="N9" s="2">
        <v>4.7</v>
      </c>
      <c r="O9" s="2">
        <v>0.93476531424025466</v>
      </c>
      <c r="P9" s="5" t="s">
        <v>3</v>
      </c>
      <c r="Q9" s="2">
        <v>5.0279999999999996</v>
      </c>
      <c r="R9" s="2">
        <v>1</v>
      </c>
      <c r="S9" s="2" t="s">
        <v>2</v>
      </c>
      <c r="T9" s="2" t="s">
        <v>1</v>
      </c>
      <c r="U9">
        <f t="shared" si="0"/>
        <v>0.19102849215789214</v>
      </c>
      <c r="V9">
        <f t="shared" si="1"/>
        <v>0.24828341064572149</v>
      </c>
      <c r="W9">
        <f t="shared" si="2"/>
        <v>0.20099006960143206</v>
      </c>
      <c r="X9">
        <f t="shared" si="3"/>
        <v>0.22968768432982098</v>
      </c>
      <c r="Y9">
        <f t="shared" si="4"/>
        <v>0.21663393349204005</v>
      </c>
      <c r="Z9">
        <f t="shared" si="5"/>
        <v>0.56132852342507467</v>
      </c>
      <c r="AA9">
        <f t="shared" si="6"/>
        <v>0.97419987766734306</v>
      </c>
      <c r="AB9">
        <f t="shared" si="7"/>
        <v>0.16220420221369242</v>
      </c>
      <c r="AC9" s="2">
        <v>390991.180734444</v>
      </c>
      <c r="AD9" s="2">
        <v>468926.03363210201</v>
      </c>
      <c r="AE9" s="2">
        <v>450077.51526503399</v>
      </c>
      <c r="AF9" s="2">
        <v>377117.12418604299</v>
      </c>
      <c r="AG9" s="2">
        <v>380167.15632393298</v>
      </c>
      <c r="AH9" s="2">
        <v>446346.63774072798</v>
      </c>
      <c r="AI9" s="2">
        <v>411090.129961834</v>
      </c>
      <c r="AJ9" s="2">
        <v>466301.97611600702</v>
      </c>
      <c r="AK9" s="2">
        <v>451953.25695038098</v>
      </c>
      <c r="AL9" s="2">
        <v>434432.70412449801</v>
      </c>
      <c r="AM9" s="2">
        <v>504560.177128485</v>
      </c>
      <c r="AN9" s="2">
        <v>325805.251288814</v>
      </c>
      <c r="AO9" s="2">
        <v>403984.90663762501</v>
      </c>
      <c r="AP9" s="2">
        <v>482206.81799878401</v>
      </c>
      <c r="AQ9" s="2">
        <v>464416.57951979397</v>
      </c>
      <c r="AR9" s="2">
        <v>449439.25427783601</v>
      </c>
      <c r="AS9" s="2">
        <v>517411.63617526297</v>
      </c>
      <c r="AT9" s="2">
        <v>293184.38059756299</v>
      </c>
      <c r="AU9" s="2">
        <v>471322.01003686298</v>
      </c>
      <c r="AV9" s="2">
        <v>328047.96346756897</v>
      </c>
      <c r="AW9" s="2">
        <v>476372.00074598897</v>
      </c>
      <c r="AX9" s="2">
        <v>469177.67510074499</v>
      </c>
      <c r="AY9" s="2">
        <v>429309.57318116899</v>
      </c>
      <c r="AZ9" s="2">
        <v>410236.19780332199</v>
      </c>
      <c r="BA9" s="2">
        <v>458468.86119117402</v>
      </c>
      <c r="BB9" s="2">
        <v>505056.882161271</v>
      </c>
      <c r="BC9" s="2">
        <v>479639.09327195003</v>
      </c>
      <c r="BD9" s="2">
        <v>583267.39266231004</v>
      </c>
      <c r="BE9" s="2">
        <v>581217.127241357</v>
      </c>
      <c r="BF9" s="2">
        <v>439208.99916511099</v>
      </c>
      <c r="BG9" s="2">
        <v>383085.68234494497</v>
      </c>
      <c r="BH9" s="2">
        <v>466073.75200471497</v>
      </c>
      <c r="BI9" s="2">
        <v>382019.55094880197</v>
      </c>
      <c r="BJ9" s="2">
        <v>460305.07990953198</v>
      </c>
      <c r="BK9" s="2">
        <v>348316.17032482597</v>
      </c>
      <c r="BL9" s="2">
        <v>431024.15277122101</v>
      </c>
      <c r="BM9" s="2">
        <v>442990.98944319302</v>
      </c>
      <c r="BN9" s="2">
        <v>384249.28884736</v>
      </c>
      <c r="BO9" s="2">
        <v>355044.89518264501</v>
      </c>
      <c r="BP9" s="2">
        <v>534331.01278848597</v>
      </c>
      <c r="BQ9" s="2">
        <v>594317.45071223401</v>
      </c>
      <c r="BR9" s="2">
        <v>449217.04885092902</v>
      </c>
      <c r="BS9" s="2">
        <v>389936.68167531799</v>
      </c>
      <c r="BT9" s="2">
        <v>393151.48195567302</v>
      </c>
      <c r="BU9" s="2">
        <v>548336.28523845598</v>
      </c>
      <c r="BV9" s="2">
        <v>477206.88673896901</v>
      </c>
      <c r="BW9" s="2">
        <v>358742.64521455701</v>
      </c>
      <c r="BX9" s="2">
        <v>411498.126234058</v>
      </c>
      <c r="BY9" s="2">
        <v>353893.35323485098</v>
      </c>
      <c r="BZ9" s="2">
        <v>467856.19233777601</v>
      </c>
      <c r="CA9">
        <f t="shared" si="8"/>
        <v>-0.39877877422390634</v>
      </c>
      <c r="CB9">
        <f t="shared" si="9"/>
        <v>-0.22867716680499936</v>
      </c>
      <c r="CC9">
        <f t="shared" si="10"/>
        <v>-0.16903319844386908</v>
      </c>
      <c r="CD9">
        <f t="shared" si="11"/>
        <v>-0.29556001959745526</v>
      </c>
      <c r="CE9" s="3">
        <f t="shared" si="12"/>
        <v>1.753795228873874E-2</v>
      </c>
      <c r="CF9" s="3">
        <f t="shared" si="13"/>
        <v>6.7749593530492896E-2</v>
      </c>
      <c r="CG9" s="3">
        <f t="shared" si="14"/>
        <v>0.41949733087385399</v>
      </c>
      <c r="CH9" s="3">
        <f t="shared" si="15"/>
        <v>2.7245109169015919E-2</v>
      </c>
      <c r="CI9" s="2">
        <v>315801.94400158402</v>
      </c>
      <c r="CJ9" s="2">
        <v>302593.943742804</v>
      </c>
      <c r="CK9" s="2">
        <v>385326.79334158398</v>
      </c>
      <c r="CL9" s="2">
        <v>386072.99113443599</v>
      </c>
      <c r="CM9" s="2">
        <v>454060.10022793699</v>
      </c>
      <c r="CN9" s="2">
        <v>435513.77067570901</v>
      </c>
      <c r="CO9" s="2">
        <v>475173.83588256</v>
      </c>
      <c r="CP9" s="2">
        <v>441124.17706192401</v>
      </c>
      <c r="CQ9" s="2">
        <v>435529.02494980098</v>
      </c>
      <c r="CR9" s="2">
        <v>460698.18110106402</v>
      </c>
      <c r="CS9" s="2">
        <v>453136.617199103</v>
      </c>
      <c r="CT9" s="2">
        <v>448107.38468099001</v>
      </c>
      <c r="CU9" s="2">
        <v>184.60188744298901</v>
      </c>
      <c r="CV9" s="2">
        <v>199.01445530995301</v>
      </c>
      <c r="CW9" s="2">
        <v>200.60866296568599</v>
      </c>
      <c r="CX9" s="2">
        <v>211.407560693128</v>
      </c>
      <c r="CY9" s="2">
        <v>207.45171456754801</v>
      </c>
      <c r="CZ9" s="1">
        <v>212.108007274947</v>
      </c>
    </row>
    <row r="10" spans="1:104" x14ac:dyDescent="0.2">
      <c r="A10">
        <v>7276</v>
      </c>
      <c r="B10" s="2">
        <v>88</v>
      </c>
      <c r="C10" s="2" t="s">
        <v>8</v>
      </c>
      <c r="D10" s="2" t="s">
        <v>60</v>
      </c>
      <c r="E10" s="2" t="s">
        <v>59</v>
      </c>
      <c r="F10" s="2" t="s">
        <v>58</v>
      </c>
      <c r="G10" s="2" t="s">
        <v>58</v>
      </c>
      <c r="H10" s="2">
        <v>2</v>
      </c>
      <c r="I10" s="2" t="s">
        <v>57</v>
      </c>
      <c r="J10" s="2">
        <v>739.51517999999999</v>
      </c>
      <c r="K10" s="2">
        <v>739.51520000000005</v>
      </c>
      <c r="L10" s="2">
        <v>738.5068066</v>
      </c>
      <c r="M10" s="2">
        <v>4.2709999999999999</v>
      </c>
      <c r="N10" s="2">
        <v>4.2699999999999996</v>
      </c>
      <c r="O10" s="2">
        <v>0.84924423229912493</v>
      </c>
      <c r="P10" s="5" t="s">
        <v>3</v>
      </c>
      <c r="Q10" s="2">
        <v>5.0279999999999996</v>
      </c>
      <c r="R10" s="2">
        <v>1</v>
      </c>
      <c r="S10" s="2" t="s">
        <v>2</v>
      </c>
      <c r="T10" s="2" t="s">
        <v>1</v>
      </c>
      <c r="U10">
        <f t="shared" si="0"/>
        <v>0.26763986368090648</v>
      </c>
      <c r="V10">
        <f t="shared" si="1"/>
        <v>0.16419161108880745</v>
      </c>
      <c r="W10">
        <f t="shared" si="2"/>
        <v>0.64210438739339004</v>
      </c>
      <c r="X10">
        <f t="shared" si="3"/>
        <v>0.78627715099137974</v>
      </c>
      <c r="Y10">
        <f t="shared" si="4"/>
        <v>0.19113819479733185</v>
      </c>
      <c r="Z10">
        <f t="shared" si="5"/>
        <v>0.29208861350581539</v>
      </c>
      <c r="AA10">
        <f t="shared" si="6"/>
        <v>2.0386690162125928E-3</v>
      </c>
      <c r="AB10">
        <f t="shared" si="7"/>
        <v>7.5873245702029286E-3</v>
      </c>
      <c r="AC10" s="2">
        <v>87729.658281815297</v>
      </c>
      <c r="AD10" s="2">
        <v>131830.06227388099</v>
      </c>
      <c r="AE10" s="2">
        <v>107164.49817780399</v>
      </c>
      <c r="AF10" s="2">
        <v>99492.568480038797</v>
      </c>
      <c r="AG10" s="2">
        <v>84902.064852172902</v>
      </c>
      <c r="AH10" s="2">
        <v>149441.244801728</v>
      </c>
      <c r="AI10" s="2">
        <v>119772.818543306</v>
      </c>
      <c r="AJ10" s="2">
        <v>126717.71571573601</v>
      </c>
      <c r="AK10" s="2">
        <v>116194.998969233</v>
      </c>
      <c r="AL10" s="2">
        <v>89960.929545422201</v>
      </c>
      <c r="AM10" s="2">
        <v>154238.63609944499</v>
      </c>
      <c r="AN10" s="2">
        <v>92351.899706275202</v>
      </c>
      <c r="AO10" s="2">
        <v>101738.481353579</v>
      </c>
      <c r="AP10" s="2">
        <v>111485.206506962</v>
      </c>
      <c r="AQ10" s="2">
        <v>129271.58024560301</v>
      </c>
      <c r="AR10" s="2">
        <v>164174.09030509801</v>
      </c>
      <c r="AS10" s="2">
        <v>155268.487908326</v>
      </c>
      <c r="AT10" s="2">
        <v>131772.45598131799</v>
      </c>
      <c r="AU10" s="2">
        <v>178454.271720686</v>
      </c>
      <c r="AV10" s="2">
        <v>143372.20894882301</v>
      </c>
      <c r="AW10" s="2">
        <v>236490.70198293301</v>
      </c>
      <c r="AX10" s="2">
        <v>116149.55057186401</v>
      </c>
      <c r="AY10" s="2">
        <v>192710.97917385201</v>
      </c>
      <c r="AZ10" s="2">
        <v>169732.41333412999</v>
      </c>
      <c r="BA10" s="2">
        <v>171586.711128795</v>
      </c>
      <c r="BB10" s="2">
        <v>132329.37725550699</v>
      </c>
      <c r="BC10" s="2">
        <v>176627.96203953901</v>
      </c>
      <c r="BD10" s="2">
        <v>113688.035237793</v>
      </c>
      <c r="BE10" s="2">
        <v>132201.05580810999</v>
      </c>
      <c r="BF10" s="2">
        <v>105089.31573171599</v>
      </c>
      <c r="BG10" s="2">
        <v>116269.01758787</v>
      </c>
      <c r="BH10" s="2">
        <v>129863.250038953</v>
      </c>
      <c r="BI10" s="2">
        <v>92817.582206100895</v>
      </c>
      <c r="BJ10" s="2">
        <v>111448.577362649</v>
      </c>
      <c r="BK10" s="2">
        <v>101286.65165526301</v>
      </c>
      <c r="BL10" s="2">
        <v>114054.52526664099</v>
      </c>
      <c r="BM10" s="2">
        <v>103433.24024477899</v>
      </c>
      <c r="BN10" s="2">
        <v>84979.864418683093</v>
      </c>
      <c r="BO10" s="2">
        <v>131392.135689096</v>
      </c>
      <c r="BP10" s="2">
        <v>119893.065322343</v>
      </c>
      <c r="BQ10" s="2">
        <v>145000.099098479</v>
      </c>
      <c r="BR10" s="2">
        <v>174716.02961181899</v>
      </c>
      <c r="BS10" s="2">
        <v>192975.29327373399</v>
      </c>
      <c r="BT10" s="2">
        <v>134843.779858116</v>
      </c>
      <c r="BU10" s="2">
        <v>191338.681450882</v>
      </c>
      <c r="BV10" s="2">
        <v>139675.34138938601</v>
      </c>
      <c r="BW10" s="2">
        <v>159836.57520986901</v>
      </c>
      <c r="BX10" s="2">
        <v>142563.800569688</v>
      </c>
      <c r="BY10" s="2">
        <v>144464.921784351</v>
      </c>
      <c r="BZ10" s="2">
        <v>183960.74904757901</v>
      </c>
      <c r="CA10">
        <f t="shared" si="8"/>
        <v>-0.2463554980436661</v>
      </c>
      <c r="CB10">
        <f t="shared" si="9"/>
        <v>-0.21301001015392951</v>
      </c>
      <c r="CC10">
        <f t="shared" si="10"/>
        <v>0.40227827797041549</v>
      </c>
      <c r="CD10">
        <f t="shared" si="11"/>
        <v>0.12798552879045366</v>
      </c>
      <c r="CE10" s="3">
        <f t="shared" si="12"/>
        <v>0.15765123673535567</v>
      </c>
      <c r="CF10" s="3">
        <f t="shared" si="13"/>
        <v>0.18508174182553663</v>
      </c>
      <c r="CG10" s="3">
        <f t="shared" si="14"/>
        <v>7.0577605660754633E-2</v>
      </c>
      <c r="CH10" s="3">
        <f t="shared" si="15"/>
        <v>0.17476209160148823</v>
      </c>
      <c r="CI10" s="2">
        <v>93225.410054117499</v>
      </c>
      <c r="CJ10" s="2">
        <v>96699.0634342759</v>
      </c>
      <c r="CK10" s="2">
        <v>127949.37711674299</v>
      </c>
      <c r="CL10" s="2">
        <v>130676.175152258</v>
      </c>
      <c r="CM10" s="2">
        <v>140731.86429377901</v>
      </c>
      <c r="CN10" s="2">
        <v>133373.84993384499</v>
      </c>
      <c r="CO10" s="2">
        <v>131446.91275025599</v>
      </c>
      <c r="CP10" s="2">
        <v>130522.845159957</v>
      </c>
      <c r="CQ10" s="2">
        <v>138341.95412587799</v>
      </c>
      <c r="CR10" s="2">
        <v>131214.47652803399</v>
      </c>
      <c r="CS10" s="2">
        <v>135048.88007871699</v>
      </c>
      <c r="CT10" s="2">
        <v>138112.09552247799</v>
      </c>
      <c r="CU10" s="2">
        <v>192.99719806524101</v>
      </c>
      <c r="CV10" s="2">
        <v>191.19154839415</v>
      </c>
      <c r="CW10" s="2">
        <v>188.31050385257601</v>
      </c>
      <c r="CX10" s="2">
        <v>219.51947494464301</v>
      </c>
      <c r="CY10" s="2">
        <v>216.40220286623801</v>
      </c>
      <c r="CZ10" s="1">
        <v>266.125001594487</v>
      </c>
    </row>
    <row r="11" spans="1:104" x14ac:dyDescent="0.2">
      <c r="A11">
        <v>7275</v>
      </c>
      <c r="B11" s="2">
        <v>86</v>
      </c>
      <c r="C11" s="2" t="s">
        <v>8</v>
      </c>
      <c r="D11" s="2" t="s">
        <v>56</v>
      </c>
      <c r="E11" s="2" t="s">
        <v>55</v>
      </c>
      <c r="F11" s="2" t="s">
        <v>54</v>
      </c>
      <c r="G11" s="2" t="s">
        <v>54</v>
      </c>
      <c r="H11" s="2">
        <v>2</v>
      </c>
      <c r="I11" s="2" t="s">
        <v>53</v>
      </c>
      <c r="J11" s="2">
        <v>753.53098</v>
      </c>
      <c r="K11" s="2">
        <v>753.53099999999995</v>
      </c>
      <c r="L11" s="2">
        <v>752.52260660000002</v>
      </c>
      <c r="M11" s="2">
        <v>5.1319999999999997</v>
      </c>
      <c r="N11" s="2">
        <v>5.13</v>
      </c>
      <c r="O11" s="2">
        <v>1.0202863961813844</v>
      </c>
      <c r="P11" s="5" t="s">
        <v>3</v>
      </c>
      <c r="Q11" s="2">
        <v>5.0279999999999996</v>
      </c>
      <c r="R11" s="2">
        <v>1</v>
      </c>
      <c r="S11" s="2" t="s">
        <v>2</v>
      </c>
      <c r="T11" s="2" t="s">
        <v>1</v>
      </c>
      <c r="U11">
        <f t="shared" si="0"/>
        <v>0.37720801632232298</v>
      </c>
      <c r="V11">
        <f t="shared" si="1"/>
        <v>0.39607271689181711</v>
      </c>
      <c r="W11">
        <f t="shared" si="2"/>
        <v>0.59259971943463807</v>
      </c>
      <c r="X11">
        <f t="shared" si="3"/>
        <v>0.40561096501783217</v>
      </c>
      <c r="Y11">
        <f t="shared" si="4"/>
        <v>1.8590173290940704E-2</v>
      </c>
      <c r="Z11">
        <f t="shared" si="5"/>
        <v>5.4742611244088656E-2</v>
      </c>
      <c r="AA11">
        <f t="shared" si="6"/>
        <v>4.0757663868259984E-2</v>
      </c>
      <c r="AB11">
        <f t="shared" si="7"/>
        <v>9.0836015708201611E-4</v>
      </c>
      <c r="AC11" s="2">
        <v>22753.988044268201</v>
      </c>
      <c r="AD11" s="2">
        <v>27094.702800827399</v>
      </c>
      <c r="AE11" s="2">
        <v>22590.6563155125</v>
      </c>
      <c r="AF11" s="2">
        <v>22474.800156434601</v>
      </c>
      <c r="AG11" s="2">
        <v>20513.1004985871</v>
      </c>
      <c r="AH11" s="2">
        <v>29341.3286540269</v>
      </c>
      <c r="AI11" s="2">
        <v>25076.4199604852</v>
      </c>
      <c r="AJ11" s="2">
        <v>31358.951106885099</v>
      </c>
      <c r="AK11" s="2">
        <v>33272.298289910803</v>
      </c>
      <c r="AL11" s="2">
        <v>25232.437630065098</v>
      </c>
      <c r="AM11" s="2">
        <v>36209.1829019625</v>
      </c>
      <c r="AN11" s="2">
        <v>21497.188525963</v>
      </c>
      <c r="AO11" s="2">
        <v>26828.2753719303</v>
      </c>
      <c r="AP11" s="2">
        <v>30999.362526660701</v>
      </c>
      <c r="AQ11" s="2">
        <v>29727.5156694713</v>
      </c>
      <c r="AR11" s="2">
        <v>36681.844833359697</v>
      </c>
      <c r="AS11" s="2">
        <v>35653.256463873702</v>
      </c>
      <c r="AT11" s="2">
        <v>24594.340642716401</v>
      </c>
      <c r="AU11" s="2">
        <v>34065.842912194297</v>
      </c>
      <c r="AV11" s="2">
        <v>22664.535061820199</v>
      </c>
      <c r="AW11" s="2">
        <v>33388.555860739099</v>
      </c>
      <c r="AX11" s="2">
        <v>28485.2843969145</v>
      </c>
      <c r="AY11" s="2">
        <v>29924.707597820201</v>
      </c>
      <c r="AZ11" s="2">
        <v>28900.5485268169</v>
      </c>
      <c r="BA11" s="2">
        <v>33020.585079843797</v>
      </c>
      <c r="BB11" s="2">
        <v>37720.491733183502</v>
      </c>
      <c r="BC11" s="2">
        <v>38399.559335135302</v>
      </c>
      <c r="BD11" s="2">
        <v>39384.928686453102</v>
      </c>
      <c r="BE11" s="2">
        <v>35815.339732587599</v>
      </c>
      <c r="BF11" s="2">
        <v>28428.782263346799</v>
      </c>
      <c r="BG11" s="2">
        <v>27229.019795500899</v>
      </c>
      <c r="BH11" s="2">
        <v>32892.223604591803</v>
      </c>
      <c r="BI11" s="2">
        <v>23939.647491598898</v>
      </c>
      <c r="BJ11" s="2">
        <v>32960.379053163197</v>
      </c>
      <c r="BK11" s="2">
        <v>23790.143522306898</v>
      </c>
      <c r="BL11" s="2">
        <v>32358.7588004971</v>
      </c>
      <c r="BM11" s="2">
        <v>32812.116713151598</v>
      </c>
      <c r="BN11" s="2">
        <v>24949.309544879001</v>
      </c>
      <c r="BO11" s="2">
        <v>32394.194708737701</v>
      </c>
      <c r="BP11" s="2">
        <v>38170.440033339801</v>
      </c>
      <c r="BQ11" s="2">
        <v>39495.016581686701</v>
      </c>
      <c r="BR11" s="2">
        <v>38774.885122313201</v>
      </c>
      <c r="BS11" s="2">
        <v>37409.670498388899</v>
      </c>
      <c r="BT11" s="2">
        <v>26709.2593469001</v>
      </c>
      <c r="BU11" s="2">
        <v>40410.319508141103</v>
      </c>
      <c r="BV11" s="2">
        <v>35789.741173066002</v>
      </c>
      <c r="BW11" s="2">
        <v>34005.623930694703</v>
      </c>
      <c r="BX11" s="2">
        <v>33121.1382926488</v>
      </c>
      <c r="BY11" s="2">
        <v>29662.853163573101</v>
      </c>
      <c r="BZ11" s="2">
        <v>41498.064260275802</v>
      </c>
      <c r="CA11">
        <f t="shared" si="8"/>
        <v>-0.47020343502109524</v>
      </c>
      <c r="CB11">
        <f t="shared" si="9"/>
        <v>-0.21961318932842031</v>
      </c>
      <c r="CC11">
        <f t="shared" si="10"/>
        <v>3.9774023573093016E-2</v>
      </c>
      <c r="CD11">
        <f t="shared" si="11"/>
        <v>-0.14957512102608089</v>
      </c>
      <c r="CE11" s="3">
        <f t="shared" si="12"/>
        <v>2.5174010970363266E-2</v>
      </c>
      <c r="CF11" s="3">
        <f t="shared" si="13"/>
        <v>0.2224502942346557</v>
      </c>
      <c r="CG11" s="3">
        <f t="shared" si="14"/>
        <v>0.8531493711819309</v>
      </c>
      <c r="CH11" s="3">
        <f t="shared" si="15"/>
        <v>0.69267235811167904</v>
      </c>
      <c r="CI11" s="2">
        <v>28998.176703429701</v>
      </c>
      <c r="CJ11" s="2">
        <v>27100.598289420999</v>
      </c>
      <c r="CK11" s="2">
        <v>38732.855897965899</v>
      </c>
      <c r="CL11" s="2">
        <v>37302.727127601604</v>
      </c>
      <c r="CM11" s="2">
        <v>33568.0116359362</v>
      </c>
      <c r="CN11" s="2">
        <v>31491.420306573498</v>
      </c>
      <c r="CO11" s="2">
        <v>29959.390879915201</v>
      </c>
      <c r="CP11" s="2">
        <v>30440.832554193999</v>
      </c>
      <c r="CQ11" s="2">
        <v>30414.0057380203</v>
      </c>
      <c r="CR11" s="2">
        <v>29514.0663987404</v>
      </c>
      <c r="CS11" s="2">
        <v>31577.447285138001</v>
      </c>
      <c r="CT11" s="2">
        <v>33484.378975782798</v>
      </c>
      <c r="CU11" s="2">
        <v>205.747088470683</v>
      </c>
      <c r="CV11" s="2">
        <v>228.88942574891601</v>
      </c>
      <c r="CW11" s="2">
        <v>218.982662204344</v>
      </c>
      <c r="CX11" s="2">
        <v>239.12172533192901</v>
      </c>
      <c r="CY11" s="2">
        <v>240.59820665766799</v>
      </c>
      <c r="CZ11" s="1">
        <v>247.05655502795801</v>
      </c>
    </row>
    <row r="12" spans="1:104" x14ac:dyDescent="0.2">
      <c r="A12">
        <v>7274</v>
      </c>
      <c r="B12" s="2">
        <v>85</v>
      </c>
      <c r="C12" s="2" t="s">
        <v>8</v>
      </c>
      <c r="D12" s="2" t="s">
        <v>52</v>
      </c>
      <c r="E12" s="2" t="s">
        <v>51</v>
      </c>
      <c r="F12" s="2" t="s">
        <v>50</v>
      </c>
      <c r="G12" s="2" t="s">
        <v>50</v>
      </c>
      <c r="H12" s="2">
        <v>2</v>
      </c>
      <c r="I12" s="2" t="s">
        <v>49</v>
      </c>
      <c r="J12" s="2">
        <v>769.56263999999999</v>
      </c>
      <c r="K12" s="2">
        <v>769.56259999999997</v>
      </c>
      <c r="L12" s="2">
        <v>768.55426660000001</v>
      </c>
      <c r="M12" s="2">
        <v>5.984</v>
      </c>
      <c r="N12" s="2">
        <v>5.98</v>
      </c>
      <c r="O12" s="2">
        <v>1.1893396976929198</v>
      </c>
      <c r="P12" s="5" t="s">
        <v>3</v>
      </c>
      <c r="Q12" s="2">
        <v>5.0279999999999996</v>
      </c>
      <c r="R12" s="2">
        <v>1</v>
      </c>
      <c r="S12" s="2" t="s">
        <v>2</v>
      </c>
      <c r="T12" s="2" t="s">
        <v>1</v>
      </c>
      <c r="U12">
        <f t="shared" si="0"/>
        <v>5.8030587072646016E-2</v>
      </c>
      <c r="V12">
        <f t="shared" si="1"/>
        <v>0.14053510317076814</v>
      </c>
      <c r="W12">
        <f t="shared" si="2"/>
        <v>0.57747524340242407</v>
      </c>
      <c r="X12">
        <f t="shared" si="3"/>
        <v>0.43970469002591189</v>
      </c>
      <c r="Y12">
        <f t="shared" si="4"/>
        <v>0.69302603354847991</v>
      </c>
      <c r="Z12">
        <f t="shared" si="5"/>
        <v>0.59085960557757122</v>
      </c>
      <c r="AA12">
        <f t="shared" si="6"/>
        <v>0.15550805013885474</v>
      </c>
      <c r="AB12">
        <f t="shared" si="7"/>
        <v>1.0876282974052541E-2</v>
      </c>
      <c r="AC12" s="2">
        <v>47574.583991864703</v>
      </c>
      <c r="AD12" s="2">
        <v>63750.020321556804</v>
      </c>
      <c r="AE12" s="2">
        <v>55838.820465345103</v>
      </c>
      <c r="AF12" s="2">
        <v>49141.643082272203</v>
      </c>
      <c r="AG12" s="2">
        <v>47262.366374288598</v>
      </c>
      <c r="AH12" s="2">
        <v>51158.596413790103</v>
      </c>
      <c r="AI12" s="2">
        <v>50965.483607338698</v>
      </c>
      <c r="AJ12" s="2">
        <v>52687.8824914324</v>
      </c>
      <c r="AK12" s="2">
        <v>55853.678708006199</v>
      </c>
      <c r="AL12" s="2">
        <v>45579.819039587303</v>
      </c>
      <c r="AM12" s="2">
        <v>74014.277506692597</v>
      </c>
      <c r="AN12" s="2">
        <v>40984.6732908821</v>
      </c>
      <c r="AO12" s="2">
        <v>50122.348921698896</v>
      </c>
      <c r="AP12" s="2">
        <v>62282.602939143901</v>
      </c>
      <c r="AQ12" s="2">
        <v>54169.515947407897</v>
      </c>
      <c r="AR12" s="2">
        <v>73330.904750649395</v>
      </c>
      <c r="AS12" s="2">
        <v>74815.001803511594</v>
      </c>
      <c r="AT12" s="2">
        <v>42442.809652986798</v>
      </c>
      <c r="AU12" s="2">
        <v>79040.649419726906</v>
      </c>
      <c r="AV12" s="2">
        <v>54315.311537596703</v>
      </c>
      <c r="AW12" s="2">
        <v>77935.462923637897</v>
      </c>
      <c r="AX12" s="2">
        <v>61835.030702237098</v>
      </c>
      <c r="AY12" s="2">
        <v>75425.280728106794</v>
      </c>
      <c r="AZ12" s="2">
        <v>60248.944051971499</v>
      </c>
      <c r="BA12" s="2">
        <v>66652.121025863802</v>
      </c>
      <c r="BB12" s="2">
        <v>63600.543053949099</v>
      </c>
      <c r="BC12" s="2">
        <v>41340.445385881801</v>
      </c>
      <c r="BD12" s="2">
        <v>50113.681194223202</v>
      </c>
      <c r="BE12" s="2">
        <v>71448.996225339099</v>
      </c>
      <c r="BF12" s="2">
        <v>33244.394348442998</v>
      </c>
      <c r="BG12" s="2">
        <v>49150.460862834501</v>
      </c>
      <c r="BH12" s="2">
        <v>49002.9317201218</v>
      </c>
      <c r="BI12" s="2">
        <v>40962.876115511703</v>
      </c>
      <c r="BJ12" s="2">
        <v>30608.973319526998</v>
      </c>
      <c r="BK12" s="2">
        <v>51255.784423261903</v>
      </c>
      <c r="BL12" s="2">
        <v>39067.772204534202</v>
      </c>
      <c r="BM12" s="2">
        <v>44423.522318248099</v>
      </c>
      <c r="BN12" s="2">
        <v>47491.409856193401</v>
      </c>
      <c r="BO12" s="2">
        <v>44615.961783351799</v>
      </c>
      <c r="BP12" s="2">
        <v>57558.338058059402</v>
      </c>
      <c r="BQ12" s="2">
        <v>50292.221524725799</v>
      </c>
      <c r="BR12" s="2">
        <v>59175.088378952503</v>
      </c>
      <c r="BS12" s="2">
        <v>56408.314596965101</v>
      </c>
      <c r="BT12" s="2">
        <v>55609.239996479497</v>
      </c>
      <c r="BU12" s="2">
        <v>88186.361703546703</v>
      </c>
      <c r="BV12" s="2">
        <v>60562.160688449701</v>
      </c>
      <c r="BW12" s="2">
        <v>67976.103377050793</v>
      </c>
      <c r="BX12" s="2">
        <v>43366.877558205102</v>
      </c>
      <c r="BY12" s="2">
        <v>59672.5761757859</v>
      </c>
      <c r="BZ12" s="2">
        <v>74580.799724086901</v>
      </c>
      <c r="CA12">
        <f t="shared" si="8"/>
        <v>-3.2336452958036714E-2</v>
      </c>
      <c r="CB12">
        <f t="shared" si="9"/>
        <v>-0.16764457719984122</v>
      </c>
      <c r="CC12">
        <f t="shared" si="10"/>
        <v>0.17070331431486191</v>
      </c>
      <c r="CD12">
        <f t="shared" si="11"/>
        <v>0.27321216004070048</v>
      </c>
      <c r="CE12" s="3">
        <f t="shared" si="12"/>
        <v>0.35983300829397263</v>
      </c>
      <c r="CF12" s="3">
        <f t="shared" si="13"/>
        <v>0.50620084474461657</v>
      </c>
      <c r="CG12" s="3">
        <f t="shared" si="14"/>
        <v>0.33377500201008869</v>
      </c>
      <c r="CH12" s="3">
        <f t="shared" si="15"/>
        <v>0.31919233139924247</v>
      </c>
      <c r="CI12" s="2">
        <v>19118.930820597299</v>
      </c>
      <c r="CJ12" s="2">
        <v>27873.190913639301</v>
      </c>
      <c r="CK12" s="2">
        <v>31537.5948760137</v>
      </c>
      <c r="CL12" s="2">
        <v>18485.416906479499</v>
      </c>
      <c r="CM12" s="2">
        <v>60167.503587404099</v>
      </c>
      <c r="CN12" s="2">
        <v>57360.362719718301</v>
      </c>
      <c r="CO12" s="2">
        <v>55210.322636448902</v>
      </c>
      <c r="CP12" s="2">
        <v>55273.449913482902</v>
      </c>
      <c r="CQ12" s="2">
        <v>59218.121238726497</v>
      </c>
      <c r="CR12" s="2">
        <v>60001.368105724898</v>
      </c>
      <c r="CS12" s="2">
        <v>47019.552800191501</v>
      </c>
      <c r="CT12" s="2">
        <v>64986.7818054421</v>
      </c>
      <c r="CU12" s="2">
        <v>206.913705768227</v>
      </c>
      <c r="CV12" s="2">
        <v>207.014060611839</v>
      </c>
      <c r="CW12" s="2">
        <v>218.45303359768201</v>
      </c>
      <c r="CX12" s="2">
        <v>261.08072901736602</v>
      </c>
      <c r="CY12" s="2">
        <v>284.759007850937</v>
      </c>
      <c r="CZ12" s="1">
        <v>281.03514703201</v>
      </c>
    </row>
    <row r="13" spans="1:104" x14ac:dyDescent="0.2">
      <c r="A13">
        <v>7273</v>
      </c>
      <c r="B13" s="2">
        <v>82</v>
      </c>
      <c r="C13" s="2" t="s">
        <v>8</v>
      </c>
      <c r="D13" s="2" t="s">
        <v>48</v>
      </c>
      <c r="E13" s="2" t="s">
        <v>47</v>
      </c>
      <c r="F13" s="2" t="s">
        <v>46</v>
      </c>
      <c r="G13" s="2" t="s">
        <v>46</v>
      </c>
      <c r="H13" s="2">
        <v>2</v>
      </c>
      <c r="I13" s="2" t="s">
        <v>45</v>
      </c>
      <c r="J13" s="2">
        <v>767.54795000000001</v>
      </c>
      <c r="K13" s="2">
        <v>767.548</v>
      </c>
      <c r="L13" s="2">
        <v>766.53957660000003</v>
      </c>
      <c r="M13" s="2">
        <v>5.6050000000000004</v>
      </c>
      <c r="N13" s="2">
        <v>5.61</v>
      </c>
      <c r="O13" s="2">
        <v>1.1157517899761338</v>
      </c>
      <c r="P13" s="5" t="s">
        <v>3</v>
      </c>
      <c r="Q13" s="2">
        <v>5.0279999999999996</v>
      </c>
      <c r="R13" s="2">
        <v>2</v>
      </c>
      <c r="S13" s="2" t="s">
        <v>2</v>
      </c>
      <c r="T13" s="2" t="s">
        <v>1</v>
      </c>
      <c r="U13">
        <f t="shared" si="0"/>
        <v>0.36853991149203719</v>
      </c>
      <c r="V13">
        <f t="shared" si="1"/>
        <v>0.38879920991134159</v>
      </c>
      <c r="W13">
        <f t="shared" si="2"/>
        <v>0.53089426949339846</v>
      </c>
      <c r="X13">
        <f t="shared" si="3"/>
        <v>0.43709970136138515</v>
      </c>
      <c r="Y13">
        <f t="shared" si="4"/>
        <v>3.7005550311400431E-2</v>
      </c>
      <c r="Z13">
        <f t="shared" si="5"/>
        <v>2.1630326940420032E-2</v>
      </c>
      <c r="AA13">
        <f t="shared" si="6"/>
        <v>3.6481497994803887E-2</v>
      </c>
      <c r="AB13">
        <f t="shared" si="7"/>
        <v>3.5552883874739887E-4</v>
      </c>
      <c r="AC13" s="2">
        <v>2797916.89458255</v>
      </c>
      <c r="AD13" s="2">
        <v>3304156.8039113702</v>
      </c>
      <c r="AE13" s="2">
        <v>2852098.2344915802</v>
      </c>
      <c r="AF13" s="2">
        <v>2895519.59333887</v>
      </c>
      <c r="AG13" s="2">
        <v>2768351.9429169502</v>
      </c>
      <c r="AH13" s="2">
        <v>3682188.7581272498</v>
      </c>
      <c r="AI13" s="2">
        <v>2931471.4209005502</v>
      </c>
      <c r="AJ13" s="2">
        <v>3720154.3344153101</v>
      </c>
      <c r="AK13" s="2">
        <v>3749765.1370022702</v>
      </c>
      <c r="AL13" s="2">
        <v>3066474.8497516201</v>
      </c>
      <c r="AM13" s="2">
        <v>4348853.3825389501</v>
      </c>
      <c r="AN13" s="2">
        <v>2945335.9418721399</v>
      </c>
      <c r="AO13" s="2">
        <v>3380746.8179697902</v>
      </c>
      <c r="AP13" s="2">
        <v>3807911.1781212301</v>
      </c>
      <c r="AQ13" s="2">
        <v>3734261.3035021001</v>
      </c>
      <c r="AR13" s="2">
        <v>4397103.6867933301</v>
      </c>
      <c r="AS13" s="2">
        <v>4292013.4061333695</v>
      </c>
      <c r="AT13" s="2">
        <v>2842242.1604524301</v>
      </c>
      <c r="AU13" s="2">
        <v>4120781.42691958</v>
      </c>
      <c r="AV13" s="2">
        <v>3148956.4985294999</v>
      </c>
      <c r="AW13" s="2">
        <v>3901267.80970786</v>
      </c>
      <c r="AX13" s="2">
        <v>3549702.47353946</v>
      </c>
      <c r="AY13" s="2">
        <v>3538904.49704153</v>
      </c>
      <c r="AZ13" s="2">
        <v>3861398.2995668799</v>
      </c>
      <c r="BA13" s="2">
        <v>4110003.8210311402</v>
      </c>
      <c r="BB13" s="2">
        <v>4535427.7358219502</v>
      </c>
      <c r="BC13" s="2">
        <v>4542351.0735713998</v>
      </c>
      <c r="BD13" s="2">
        <v>4615521.5067435596</v>
      </c>
      <c r="BE13" s="2">
        <v>4791247.8053127797</v>
      </c>
      <c r="BF13" s="2">
        <v>3615582.3612274299</v>
      </c>
      <c r="BG13" s="2">
        <v>3695597.85603223</v>
      </c>
      <c r="BH13" s="2">
        <v>4183025.8654544498</v>
      </c>
      <c r="BI13" s="2">
        <v>3134520.94738793</v>
      </c>
      <c r="BJ13" s="2">
        <v>4071298.5973601402</v>
      </c>
      <c r="BK13" s="2">
        <v>3491071.43459462</v>
      </c>
      <c r="BL13" s="2">
        <v>3874070.1604072899</v>
      </c>
      <c r="BM13" s="2">
        <v>4243068.721717</v>
      </c>
      <c r="BN13" s="2">
        <v>3666682.74050667</v>
      </c>
      <c r="BO13" s="2">
        <v>3910310.3872035998</v>
      </c>
      <c r="BP13" s="2">
        <v>4857228.7331443103</v>
      </c>
      <c r="BQ13" s="2">
        <v>4225986.4482187303</v>
      </c>
      <c r="BR13" s="2">
        <v>4345685.2860643901</v>
      </c>
      <c r="BS13" s="2">
        <v>4443152.28805409</v>
      </c>
      <c r="BT13" s="2">
        <v>3525516.3455740698</v>
      </c>
      <c r="BU13" s="2">
        <v>5201859.1751737399</v>
      </c>
      <c r="BV13" s="2">
        <v>4323347.9669316998</v>
      </c>
      <c r="BW13" s="2">
        <v>4374059.7006069897</v>
      </c>
      <c r="BX13" s="2">
        <v>4148781.6589094298</v>
      </c>
      <c r="BY13" s="2">
        <v>3867395.5572462501</v>
      </c>
      <c r="BZ13" s="2">
        <v>5307732.8434006302</v>
      </c>
      <c r="CA13">
        <f t="shared" si="8"/>
        <v>-0.29763143923607355</v>
      </c>
      <c r="CB13">
        <f t="shared" si="9"/>
        <v>-0.21615608642012732</v>
      </c>
      <c r="CC13">
        <f t="shared" si="10"/>
        <v>-6.3855516223155204E-2</v>
      </c>
      <c r="CD13">
        <f t="shared" si="11"/>
        <v>-7.1290257772360255E-2</v>
      </c>
      <c r="CE13" s="3">
        <f t="shared" si="12"/>
        <v>3.6705773415305835E-2</v>
      </c>
      <c r="CF13" s="3">
        <f t="shared" si="13"/>
        <v>0.32164563278534769</v>
      </c>
      <c r="CG13" s="3">
        <f t="shared" si="14"/>
        <v>0.83742631776416621</v>
      </c>
      <c r="CH13" s="3">
        <f t="shared" si="15"/>
        <v>0.96174028940387812</v>
      </c>
      <c r="CI13" s="2">
        <v>2930137.23013017</v>
      </c>
      <c r="CJ13" s="2">
        <v>2837465.6386835999</v>
      </c>
      <c r="CK13" s="2">
        <v>3698640.69341052</v>
      </c>
      <c r="CL13" s="2">
        <v>3655151.4523852998</v>
      </c>
      <c r="CM13" s="2">
        <v>3825903.2515173499</v>
      </c>
      <c r="CN13" s="2">
        <v>3861566.9344351902</v>
      </c>
      <c r="CO13" s="2">
        <v>3842066.7456235499</v>
      </c>
      <c r="CP13" s="2">
        <v>3944157.9309265302</v>
      </c>
      <c r="CQ13" s="2">
        <v>3894504.3812276102</v>
      </c>
      <c r="CR13" s="2">
        <v>3961298.7621682002</v>
      </c>
      <c r="CS13" s="2">
        <v>3822099.5949236001</v>
      </c>
      <c r="CT13" s="2">
        <v>3813490.39776352</v>
      </c>
      <c r="CU13" s="2">
        <v>376.00543069107999</v>
      </c>
      <c r="CV13" s="2">
        <v>387.87435817457299</v>
      </c>
      <c r="CW13" s="2">
        <v>374.19940170936798</v>
      </c>
      <c r="CX13" s="2">
        <v>448.08693493077999</v>
      </c>
      <c r="CY13" s="2">
        <v>408.14112164327599</v>
      </c>
      <c r="CZ13" s="1">
        <v>448.91078378246601</v>
      </c>
    </row>
    <row r="14" spans="1:104" x14ac:dyDescent="0.2">
      <c r="A14">
        <v>7272</v>
      </c>
      <c r="B14" s="2">
        <v>81</v>
      </c>
      <c r="C14" s="2" t="s">
        <v>8</v>
      </c>
      <c r="D14" s="2" t="s">
        <v>44</v>
      </c>
      <c r="E14" s="2" t="s">
        <v>43</v>
      </c>
      <c r="F14" s="2" t="s">
        <v>42</v>
      </c>
      <c r="G14" s="2" t="s">
        <v>42</v>
      </c>
      <c r="H14" s="2">
        <v>2</v>
      </c>
      <c r="I14" s="2" t="s">
        <v>38</v>
      </c>
      <c r="J14" s="2">
        <v>765.53137000000004</v>
      </c>
      <c r="K14" s="2">
        <v>765.53139999999996</v>
      </c>
      <c r="L14" s="2">
        <v>764.52299660000006</v>
      </c>
      <c r="M14" s="2">
        <v>4.7359999999999998</v>
      </c>
      <c r="N14" s="2">
        <v>4.74</v>
      </c>
      <c r="O14" s="2">
        <v>0.9427207637231505</v>
      </c>
      <c r="P14" s="5" t="s">
        <v>3</v>
      </c>
      <c r="Q14" s="2">
        <v>5.0279999999999996</v>
      </c>
      <c r="R14" s="2">
        <v>1</v>
      </c>
      <c r="S14" s="2" t="s">
        <v>2</v>
      </c>
      <c r="T14" s="2" t="s">
        <v>1</v>
      </c>
      <c r="U14">
        <f t="shared" si="0"/>
        <v>0.19085357215928228</v>
      </c>
      <c r="V14">
        <f t="shared" si="1"/>
        <v>0.22260256276973742</v>
      </c>
      <c r="W14">
        <f t="shared" si="2"/>
        <v>0.47990007592662298</v>
      </c>
      <c r="X14">
        <f t="shared" si="3"/>
        <v>0.41062146149916723</v>
      </c>
      <c r="Y14">
        <f t="shared" si="4"/>
        <v>5.3385710818439409E-2</v>
      </c>
      <c r="Z14">
        <f t="shared" si="5"/>
        <v>0.24696407576232743</v>
      </c>
      <c r="AA14">
        <f t="shared" si="6"/>
        <v>3.7678978754102435E-2</v>
      </c>
      <c r="AB14">
        <f t="shared" si="7"/>
        <v>3.2987025568539203E-3</v>
      </c>
      <c r="AC14" s="2">
        <v>243633.142956847</v>
      </c>
      <c r="AD14" s="2">
        <v>300566.05043060501</v>
      </c>
      <c r="AE14" s="2">
        <v>274788.12132206099</v>
      </c>
      <c r="AF14" s="2">
        <v>261206.885280352</v>
      </c>
      <c r="AG14" s="2">
        <v>242205.814237788</v>
      </c>
      <c r="AH14" s="2">
        <v>309203.65340742498</v>
      </c>
      <c r="AI14" s="2">
        <v>297777.39727594203</v>
      </c>
      <c r="AJ14" s="2">
        <v>298151.68667296798</v>
      </c>
      <c r="AK14" s="2">
        <v>321874.212059621</v>
      </c>
      <c r="AL14" s="2">
        <v>262073.155048688</v>
      </c>
      <c r="AM14" s="2">
        <v>424613.28727077099</v>
      </c>
      <c r="AN14" s="2">
        <v>226016.47760344899</v>
      </c>
      <c r="AO14" s="2">
        <v>276235.82760728901</v>
      </c>
      <c r="AP14" s="2">
        <v>305698.17701211199</v>
      </c>
      <c r="AQ14" s="2">
        <v>304785.75769832399</v>
      </c>
      <c r="AR14" s="2">
        <v>364291.41639330098</v>
      </c>
      <c r="AS14" s="2">
        <v>402880.00487603701</v>
      </c>
      <c r="AT14" s="2">
        <v>261704.03601808299</v>
      </c>
      <c r="AU14" s="2">
        <v>368199.32811319298</v>
      </c>
      <c r="AV14" s="2">
        <v>285265.96134513401</v>
      </c>
      <c r="AW14" s="2">
        <v>389924.09944627603</v>
      </c>
      <c r="AX14" s="2">
        <v>289798.70212711202</v>
      </c>
      <c r="AY14" s="2">
        <v>344421.03542980098</v>
      </c>
      <c r="AZ14" s="2">
        <v>347211.41708522098</v>
      </c>
      <c r="BA14" s="2">
        <v>385325.79479031899</v>
      </c>
      <c r="BB14" s="2">
        <v>347789.66443665698</v>
      </c>
      <c r="BC14" s="2">
        <v>345541.481781354</v>
      </c>
      <c r="BD14" s="2">
        <v>360721.41245882201</v>
      </c>
      <c r="BE14" s="2">
        <v>374914.96836203203</v>
      </c>
      <c r="BF14" s="2">
        <v>320672.81750026502</v>
      </c>
      <c r="BG14" s="2">
        <v>289813.46574118</v>
      </c>
      <c r="BH14" s="2">
        <v>339482.53129538102</v>
      </c>
      <c r="BI14" s="2">
        <v>265296.85577291599</v>
      </c>
      <c r="BJ14" s="2">
        <v>333009.87266059901</v>
      </c>
      <c r="BK14" s="2">
        <v>277249.21441879199</v>
      </c>
      <c r="BL14" s="2">
        <v>331205.35492719698</v>
      </c>
      <c r="BM14" s="2">
        <v>353031.24832266802</v>
      </c>
      <c r="BN14" s="2">
        <v>312684.90533933102</v>
      </c>
      <c r="BO14" s="2">
        <v>290696.48572519299</v>
      </c>
      <c r="BP14" s="2">
        <v>398498.06004816998</v>
      </c>
      <c r="BQ14" s="2">
        <v>454590.92647886398</v>
      </c>
      <c r="BR14" s="2">
        <v>376832.42935125798</v>
      </c>
      <c r="BS14" s="2">
        <v>365726.69145495503</v>
      </c>
      <c r="BT14" s="2">
        <v>356515.37644856999</v>
      </c>
      <c r="BU14" s="2">
        <v>469835.80143585999</v>
      </c>
      <c r="BV14" s="2">
        <v>382220.06806193898</v>
      </c>
      <c r="BW14" s="2">
        <v>352038.53378012503</v>
      </c>
      <c r="BX14" s="2">
        <v>356020.08823489799</v>
      </c>
      <c r="BY14" s="2">
        <v>326392.915955848</v>
      </c>
      <c r="BZ14" s="2">
        <v>403088.10446567798</v>
      </c>
      <c r="CA14">
        <f t="shared" si="8"/>
        <v>-0.26309043039790569</v>
      </c>
      <c r="CB14">
        <f t="shared" si="9"/>
        <v>-7.0489060962385677E-2</v>
      </c>
      <c r="CC14">
        <f t="shared" si="10"/>
        <v>0.11570806590607578</v>
      </c>
      <c r="CD14">
        <f t="shared" si="11"/>
        <v>3.3743587273968097E-2</v>
      </c>
      <c r="CE14" s="3">
        <f t="shared" si="12"/>
        <v>2.2998235909400627E-2</v>
      </c>
      <c r="CF14" s="3">
        <f t="shared" si="13"/>
        <v>0.55319363084480755</v>
      </c>
      <c r="CG14" s="3">
        <f t="shared" si="14"/>
        <v>6.3689966673983481E-2</v>
      </c>
      <c r="CH14" s="3">
        <f t="shared" si="15"/>
        <v>0.40549505977656508</v>
      </c>
      <c r="CI14" s="2">
        <v>191994.12671115799</v>
      </c>
      <c r="CJ14" s="2">
        <v>174000.164828315</v>
      </c>
      <c r="CK14" s="2">
        <v>232510.87343101201</v>
      </c>
      <c r="CL14" s="2">
        <v>225913.13172889</v>
      </c>
      <c r="CM14" s="2">
        <v>339307.16205951403</v>
      </c>
      <c r="CN14" s="2">
        <v>331538.60465316998</v>
      </c>
      <c r="CO14" s="2">
        <v>340086.85740375199</v>
      </c>
      <c r="CP14" s="2">
        <v>332323.02608152601</v>
      </c>
      <c r="CQ14" s="2">
        <v>327165.34046429902</v>
      </c>
      <c r="CR14" s="2">
        <v>335744.33913401101</v>
      </c>
      <c r="CS14" s="2">
        <v>333091.484474873</v>
      </c>
      <c r="CT14" s="2">
        <v>340409.04291373899</v>
      </c>
      <c r="CU14" s="2">
        <v>210.987726179877</v>
      </c>
      <c r="CV14" s="2">
        <v>219.386633836893</v>
      </c>
      <c r="CW14" s="2">
        <v>221.10587775238099</v>
      </c>
      <c r="CX14" s="2">
        <v>251.36229260895001</v>
      </c>
      <c r="CY14" s="2">
        <v>233.50408331834601</v>
      </c>
      <c r="CZ14" s="1">
        <v>230.68822020479701</v>
      </c>
    </row>
    <row r="15" spans="1:104" x14ac:dyDescent="0.2">
      <c r="A15">
        <v>7271</v>
      </c>
      <c r="B15" s="2">
        <v>80</v>
      </c>
      <c r="C15" s="2" t="s">
        <v>8</v>
      </c>
      <c r="D15" s="2" t="s">
        <v>41</v>
      </c>
      <c r="E15" s="2" t="s">
        <v>40</v>
      </c>
      <c r="F15" s="2" t="s">
        <v>39</v>
      </c>
      <c r="G15" s="2" t="s">
        <v>39</v>
      </c>
      <c r="H15" s="2">
        <v>2</v>
      </c>
      <c r="I15" s="2" t="s">
        <v>38</v>
      </c>
      <c r="J15" s="2">
        <v>765.53137000000004</v>
      </c>
      <c r="K15" s="2">
        <v>765.53139999999996</v>
      </c>
      <c r="L15" s="2">
        <v>764.52299660000006</v>
      </c>
      <c r="M15" s="2">
        <v>5.0250000000000004</v>
      </c>
      <c r="N15" s="2">
        <v>5.03</v>
      </c>
      <c r="O15" s="2">
        <v>1.0003977724741449</v>
      </c>
      <c r="P15" s="5" t="s">
        <v>3</v>
      </c>
      <c r="Q15" s="2">
        <v>5.0279999999999996</v>
      </c>
      <c r="R15" s="2">
        <v>1</v>
      </c>
      <c r="S15" s="2" t="s">
        <v>2</v>
      </c>
      <c r="T15" s="2" t="s">
        <v>1</v>
      </c>
      <c r="U15">
        <f t="shared" si="0"/>
        <v>0.33156505572180917</v>
      </c>
      <c r="V15">
        <f t="shared" si="1"/>
        <v>0.33112587158638579</v>
      </c>
      <c r="W15">
        <f t="shared" si="2"/>
        <v>0.68154404959490056</v>
      </c>
      <c r="X15">
        <f t="shared" si="3"/>
        <v>0.64262867237323062</v>
      </c>
      <c r="Y15">
        <f t="shared" si="4"/>
        <v>3.5010112878046548E-2</v>
      </c>
      <c r="Z15">
        <f t="shared" si="5"/>
        <v>0.13472909804462641</v>
      </c>
      <c r="AA15">
        <f t="shared" si="6"/>
        <v>5.8610618898901186E-2</v>
      </c>
      <c r="AB15">
        <f t="shared" si="7"/>
        <v>6.2792331247428232E-3</v>
      </c>
      <c r="AC15" s="2">
        <v>110458.050767223</v>
      </c>
      <c r="AD15" s="2">
        <v>148741.82096435499</v>
      </c>
      <c r="AE15" s="2">
        <v>120341.972762352</v>
      </c>
      <c r="AF15" s="2">
        <v>116833.76181949599</v>
      </c>
      <c r="AG15" s="2">
        <v>118229.91158475701</v>
      </c>
      <c r="AH15" s="2">
        <v>168126.33008292201</v>
      </c>
      <c r="AI15" s="2">
        <v>131465.667979052</v>
      </c>
      <c r="AJ15" s="2">
        <v>151784.83523269201</v>
      </c>
      <c r="AK15" s="2">
        <v>148777.888950744</v>
      </c>
      <c r="AL15" s="2">
        <v>133826.615586411</v>
      </c>
      <c r="AM15" s="2">
        <v>175270.80061446101</v>
      </c>
      <c r="AN15" s="2">
        <v>106420.905621734</v>
      </c>
      <c r="AO15" s="2">
        <v>137750.48465633401</v>
      </c>
      <c r="AP15" s="2">
        <v>156247.839662946</v>
      </c>
      <c r="AQ15" s="2">
        <v>148732.604991089</v>
      </c>
      <c r="AR15" s="2">
        <v>189623.67846741201</v>
      </c>
      <c r="AS15" s="2">
        <v>202304.75764762401</v>
      </c>
      <c r="AT15" s="2">
        <v>110569.590849311</v>
      </c>
      <c r="AU15" s="2">
        <v>198212.427147079</v>
      </c>
      <c r="AV15" s="2">
        <v>133396.819888625</v>
      </c>
      <c r="AW15" s="2">
        <v>208852.68867340099</v>
      </c>
      <c r="AX15" s="2">
        <v>132811.242696428</v>
      </c>
      <c r="AY15" s="2">
        <v>196625.403652218</v>
      </c>
      <c r="AZ15" s="2">
        <v>165222.39992336999</v>
      </c>
      <c r="BA15" s="2">
        <v>184577.12253387499</v>
      </c>
      <c r="BB15" s="2">
        <v>147937.17518558601</v>
      </c>
      <c r="BC15" s="2">
        <v>140890.74209119999</v>
      </c>
      <c r="BD15" s="2">
        <v>148794.19562473</v>
      </c>
      <c r="BE15" s="2">
        <v>158915.421067622</v>
      </c>
      <c r="BF15" s="2">
        <v>112682.496800747</v>
      </c>
      <c r="BG15" s="2">
        <v>110092.860820541</v>
      </c>
      <c r="BH15" s="2">
        <v>113441.079319873</v>
      </c>
      <c r="BI15" s="2">
        <v>100076.791102135</v>
      </c>
      <c r="BJ15" s="2">
        <v>120911.453869213</v>
      </c>
      <c r="BK15" s="2">
        <v>102680.53147311699</v>
      </c>
      <c r="BL15" s="2">
        <v>119617.25840472001</v>
      </c>
      <c r="BM15" s="2">
        <v>112310.183477891</v>
      </c>
      <c r="BN15" s="2">
        <v>108922.386892922</v>
      </c>
      <c r="BO15" s="2">
        <v>108261.237836776</v>
      </c>
      <c r="BP15" s="2">
        <v>162611.421784512</v>
      </c>
      <c r="BQ15" s="2">
        <v>206051.84577488201</v>
      </c>
      <c r="BR15" s="2">
        <v>206913.15166804701</v>
      </c>
      <c r="BS15" s="2">
        <v>175370.06936985601</v>
      </c>
      <c r="BT15" s="2">
        <v>153104.558222967</v>
      </c>
      <c r="BU15" s="2">
        <v>217867.04618558899</v>
      </c>
      <c r="BV15" s="2">
        <v>151861.45295583099</v>
      </c>
      <c r="BW15" s="2">
        <v>126956.249972308</v>
      </c>
      <c r="BX15" s="2">
        <v>132799.335393043</v>
      </c>
      <c r="BY15" s="2">
        <v>117173.973306894</v>
      </c>
      <c r="BZ15" s="2">
        <v>166082.50174929999</v>
      </c>
      <c r="CA15">
        <f t="shared" si="8"/>
        <v>-0.42626371569630023</v>
      </c>
      <c r="CB15">
        <f t="shared" si="9"/>
        <v>-0.39749588649085416</v>
      </c>
      <c r="CC15">
        <f t="shared" si="10"/>
        <v>0.47802275372804925</v>
      </c>
      <c r="CD15">
        <f t="shared" si="11"/>
        <v>-0.1557367067497073</v>
      </c>
      <c r="CE15" s="3">
        <f t="shared" si="12"/>
        <v>5.789678611534569E-3</v>
      </c>
      <c r="CF15" s="3">
        <f t="shared" si="13"/>
        <v>0.16954099436979658</v>
      </c>
      <c r="CG15" s="3">
        <f t="shared" si="14"/>
        <v>8.1909594637533979E-3</v>
      </c>
      <c r="CH15" s="3">
        <f t="shared" si="15"/>
        <v>0.81406845940630168</v>
      </c>
      <c r="CI15" s="2">
        <v>61527.634066937499</v>
      </c>
      <c r="CJ15" s="2">
        <v>67042.416240007005</v>
      </c>
      <c r="CK15" s="2">
        <v>80608.790912223907</v>
      </c>
      <c r="CL15" s="2">
        <v>84451.058796294703</v>
      </c>
      <c r="CM15" s="2">
        <v>147092.15960131201</v>
      </c>
      <c r="CN15" s="2">
        <v>150780.54693207599</v>
      </c>
      <c r="CO15" s="2">
        <v>151759.692889511</v>
      </c>
      <c r="CP15" s="2">
        <v>142183.36501290801</v>
      </c>
      <c r="CQ15" s="2">
        <v>143273.03970603499</v>
      </c>
      <c r="CR15" s="2">
        <v>147124.368343943</v>
      </c>
      <c r="CS15" s="2">
        <v>150928.57044084001</v>
      </c>
      <c r="CT15" s="2">
        <v>149064.455260382</v>
      </c>
      <c r="CU15" s="2">
        <v>200.50238557516499</v>
      </c>
      <c r="CV15" s="2">
        <v>195.75887865959299</v>
      </c>
      <c r="CW15" s="2">
        <v>197.30150944858801</v>
      </c>
      <c r="CX15" s="2">
        <v>237.127998449144</v>
      </c>
      <c r="CY15" s="2">
        <v>233.664317472596</v>
      </c>
      <c r="CZ15" s="1">
        <v>230.936410236581</v>
      </c>
    </row>
    <row r="16" spans="1:104" x14ac:dyDescent="0.2">
      <c r="A16">
        <v>7270</v>
      </c>
      <c r="B16" s="2">
        <v>79</v>
      </c>
      <c r="C16" s="2" t="s">
        <v>8</v>
      </c>
      <c r="D16" s="2" t="s">
        <v>37</v>
      </c>
      <c r="E16" s="2" t="s">
        <v>36</v>
      </c>
      <c r="F16" s="2" t="s">
        <v>35</v>
      </c>
      <c r="G16" s="2" t="s">
        <v>35</v>
      </c>
      <c r="H16" s="2">
        <v>2</v>
      </c>
      <c r="I16" s="2" t="s">
        <v>31</v>
      </c>
      <c r="J16" s="2">
        <v>763.51553000000001</v>
      </c>
      <c r="K16" s="2">
        <v>763.51549999999997</v>
      </c>
      <c r="L16" s="2">
        <v>762.50715660000003</v>
      </c>
      <c r="M16" s="2">
        <v>4.492</v>
      </c>
      <c r="N16" s="2">
        <v>4.49</v>
      </c>
      <c r="O16" s="2">
        <v>0.89299920445505188</v>
      </c>
      <c r="P16" s="5" t="s">
        <v>3</v>
      </c>
      <c r="Q16" s="2">
        <v>5.0279999999999996</v>
      </c>
      <c r="R16" s="2">
        <v>1</v>
      </c>
      <c r="S16" s="2" t="s">
        <v>2</v>
      </c>
      <c r="T16" s="2" t="s">
        <v>1</v>
      </c>
      <c r="U16">
        <f t="shared" si="0"/>
        <v>0.12923105022059722</v>
      </c>
      <c r="V16">
        <f t="shared" si="1"/>
        <v>3.0209589130185836E-2</v>
      </c>
      <c r="W16">
        <f t="shared" si="2"/>
        <v>0.31100035785675972</v>
      </c>
      <c r="X16">
        <f t="shared" si="3"/>
        <v>0.34431073958559688</v>
      </c>
      <c r="Y16">
        <f t="shared" si="4"/>
        <v>0.20084760920507863</v>
      </c>
      <c r="Z16">
        <f t="shared" si="5"/>
        <v>0.98113280970172179</v>
      </c>
      <c r="AA16">
        <f t="shared" si="6"/>
        <v>0.44574472068993531</v>
      </c>
      <c r="AB16">
        <f t="shared" si="7"/>
        <v>1.2623412229009758E-2</v>
      </c>
      <c r="AC16" s="2">
        <v>1306959.45649078</v>
      </c>
      <c r="AD16" s="2">
        <v>1771631.37896786</v>
      </c>
      <c r="AE16" s="2">
        <v>1475264.60095964</v>
      </c>
      <c r="AF16" s="2">
        <v>1438510.5650692901</v>
      </c>
      <c r="AG16" s="2">
        <v>1358911.2414478001</v>
      </c>
      <c r="AH16" s="2">
        <v>1760884.3528287499</v>
      </c>
      <c r="AI16" s="2">
        <v>1485718.82967524</v>
      </c>
      <c r="AJ16" s="2">
        <v>1603212.26994712</v>
      </c>
      <c r="AK16" s="2">
        <v>1573166.6321250501</v>
      </c>
      <c r="AL16" s="2">
        <v>1573314.25781842</v>
      </c>
      <c r="AM16" s="2">
        <v>1729730.60993596</v>
      </c>
      <c r="AN16" s="2">
        <v>1146073.01609592</v>
      </c>
      <c r="AO16" s="2">
        <v>1455253.1409825601</v>
      </c>
      <c r="AP16" s="2">
        <v>1566526.2060088499</v>
      </c>
      <c r="AQ16" s="2">
        <v>1468950.11775894</v>
      </c>
      <c r="AR16" s="2">
        <v>1784569.60710085</v>
      </c>
      <c r="AS16" s="2">
        <v>2091704.16257169</v>
      </c>
      <c r="AT16" s="2">
        <v>994237.87129231996</v>
      </c>
      <c r="AU16" s="2">
        <v>1862514.2289171501</v>
      </c>
      <c r="AV16" s="2">
        <v>1449131.1641299699</v>
      </c>
      <c r="AW16" s="2">
        <v>2056846.5262992801</v>
      </c>
      <c r="AX16" s="2">
        <v>1562520.28977025</v>
      </c>
      <c r="AY16" s="2">
        <v>1805790.14184601</v>
      </c>
      <c r="AZ16" s="2">
        <v>1964940.7032505199</v>
      </c>
      <c r="BA16" s="2">
        <v>1826252.8905619101</v>
      </c>
      <c r="BB16" s="2">
        <v>1614940.2203143199</v>
      </c>
      <c r="BC16" s="2">
        <v>1420342.65082631</v>
      </c>
      <c r="BD16" s="2">
        <v>1860701.46941807</v>
      </c>
      <c r="BE16" s="2">
        <v>1871403.36711733</v>
      </c>
      <c r="BF16" s="2">
        <v>1553386.74762055</v>
      </c>
      <c r="BG16" s="2">
        <v>1258770.7583031501</v>
      </c>
      <c r="BH16" s="2">
        <v>1515821.56584054</v>
      </c>
      <c r="BI16" s="2">
        <v>1289303.5142234601</v>
      </c>
      <c r="BJ16" s="2">
        <v>1553148.83740807</v>
      </c>
      <c r="BK16" s="2">
        <v>1294977.3256665401</v>
      </c>
      <c r="BL16" s="2">
        <v>1458795.12671137</v>
      </c>
      <c r="BM16" s="2">
        <v>1484128.21358658</v>
      </c>
      <c r="BN16" s="2">
        <v>1426110.80463502</v>
      </c>
      <c r="BO16" s="2">
        <v>1192981.4300295401</v>
      </c>
      <c r="BP16" s="2">
        <v>1909541.38944356</v>
      </c>
      <c r="BQ16" s="2">
        <v>2285776.41008412</v>
      </c>
      <c r="BR16" s="2">
        <v>1693848.8444811599</v>
      </c>
      <c r="BS16" s="2">
        <v>1440183.81696062</v>
      </c>
      <c r="BT16" s="2">
        <v>1772207.12932908</v>
      </c>
      <c r="BU16" s="2">
        <v>2069787.25804699</v>
      </c>
      <c r="BV16" s="2">
        <v>1643350.35127363</v>
      </c>
      <c r="BW16" s="2">
        <v>1505802.2360743899</v>
      </c>
      <c r="BX16" s="2">
        <v>1509374.7708248999</v>
      </c>
      <c r="BY16" s="2">
        <v>1282503.0059919199</v>
      </c>
      <c r="BZ16" s="2">
        <v>1967451.0656178801</v>
      </c>
      <c r="CA16">
        <f t="shared" si="8"/>
        <v>-0.31855392481796757</v>
      </c>
      <c r="CB16">
        <f t="shared" si="9"/>
        <v>-0.14670347687192156</v>
      </c>
      <c r="CC16">
        <f t="shared" si="10"/>
        <v>0.13406646870146252</v>
      </c>
      <c r="CD16">
        <f t="shared" si="11"/>
        <v>-9.7529697264758505E-2</v>
      </c>
      <c r="CE16" s="3">
        <f t="shared" si="12"/>
        <v>3.145662642083142E-2</v>
      </c>
      <c r="CF16" s="3">
        <f t="shared" si="13"/>
        <v>0.27750858394263322</v>
      </c>
      <c r="CG16" s="3">
        <f t="shared" si="14"/>
        <v>0.30593685783010893</v>
      </c>
      <c r="CH16" s="3">
        <f t="shared" si="15"/>
        <v>0.57997882532252965</v>
      </c>
      <c r="CI16" s="2">
        <v>571726.64378845796</v>
      </c>
      <c r="CJ16" s="2">
        <v>600613.51756750303</v>
      </c>
      <c r="CK16" s="2">
        <v>739051.43183506001</v>
      </c>
      <c r="CL16" s="2">
        <v>752159.06864085596</v>
      </c>
      <c r="CM16" s="2">
        <v>1619901.77739184</v>
      </c>
      <c r="CN16" s="2">
        <v>1647391.7491818301</v>
      </c>
      <c r="CO16" s="2">
        <v>1543199.21309602</v>
      </c>
      <c r="CP16" s="2">
        <v>1669292.70166454</v>
      </c>
      <c r="CQ16" s="2">
        <v>1532241.43792068</v>
      </c>
      <c r="CR16" s="2">
        <v>1597948.6788913</v>
      </c>
      <c r="CS16" s="2">
        <v>1615373.14267399</v>
      </c>
      <c r="CT16" s="2">
        <v>1638522.3003300501</v>
      </c>
      <c r="CU16" s="2">
        <v>193.71743304357099</v>
      </c>
      <c r="CV16" s="2">
        <v>205.463323783032</v>
      </c>
      <c r="CW16" s="2">
        <v>199.24389344314201</v>
      </c>
      <c r="CX16" s="2">
        <v>235.84074889655801</v>
      </c>
      <c r="CY16" s="2">
        <v>234.357601574287</v>
      </c>
      <c r="CZ16" s="1">
        <v>233.71267642181499</v>
      </c>
    </row>
    <row r="17" spans="1:104" x14ac:dyDescent="0.2">
      <c r="A17">
        <v>7269</v>
      </c>
      <c r="B17" s="2">
        <v>77</v>
      </c>
      <c r="C17" s="2" t="s">
        <v>8</v>
      </c>
      <c r="D17" s="2" t="s">
        <v>34</v>
      </c>
      <c r="E17" s="2" t="s">
        <v>33</v>
      </c>
      <c r="F17" s="2" t="s">
        <v>32</v>
      </c>
      <c r="G17" s="2" t="s">
        <v>32</v>
      </c>
      <c r="H17" s="2">
        <v>2</v>
      </c>
      <c r="I17" s="2" t="s">
        <v>31</v>
      </c>
      <c r="J17" s="2">
        <v>763.51552000000004</v>
      </c>
      <c r="K17" s="2">
        <v>763.51549999999997</v>
      </c>
      <c r="L17" s="2">
        <v>762.50714660000006</v>
      </c>
      <c r="M17" s="2">
        <v>4.1539999999999999</v>
      </c>
      <c r="N17" s="2">
        <v>4.1500000000000004</v>
      </c>
      <c r="O17" s="2">
        <v>0.82537788385043764</v>
      </c>
      <c r="P17" s="5" t="s">
        <v>3</v>
      </c>
      <c r="Q17" s="2">
        <v>5.0279999999999996</v>
      </c>
      <c r="R17" s="2">
        <v>1</v>
      </c>
      <c r="S17" s="2" t="s">
        <v>2</v>
      </c>
      <c r="T17" s="2" t="s">
        <v>1</v>
      </c>
      <c r="U17">
        <f t="shared" si="0"/>
        <v>0.26291475978821133</v>
      </c>
      <c r="V17">
        <f t="shared" si="1"/>
        <v>0.24902343544040995</v>
      </c>
      <c r="W17">
        <f t="shared" si="2"/>
        <v>0.64411287817660434</v>
      </c>
      <c r="X17">
        <f t="shared" si="3"/>
        <v>0.51632359912703918</v>
      </c>
      <c r="Y17">
        <f t="shared" si="4"/>
        <v>9.0996288628482649E-2</v>
      </c>
      <c r="Z17">
        <f t="shared" si="5"/>
        <v>0.10948394342001934</v>
      </c>
      <c r="AA17">
        <f t="shared" si="6"/>
        <v>3.1521328988539023E-2</v>
      </c>
      <c r="AB17">
        <f t="shared" si="7"/>
        <v>1.8624503349697113E-3</v>
      </c>
      <c r="AC17" s="2">
        <v>82336.781376058003</v>
      </c>
      <c r="AD17" s="2">
        <v>107107.778923896</v>
      </c>
      <c r="AE17" s="2">
        <v>96465.937716594504</v>
      </c>
      <c r="AF17" s="2">
        <v>87471.628643873497</v>
      </c>
      <c r="AG17" s="2">
        <v>76803.489261304203</v>
      </c>
      <c r="AH17" s="2">
        <v>104957.249663575</v>
      </c>
      <c r="AI17" s="2">
        <v>100844.971299329</v>
      </c>
      <c r="AJ17" s="2">
        <v>114052.110153282</v>
      </c>
      <c r="AK17" s="2">
        <v>117713.25189847199</v>
      </c>
      <c r="AL17" s="2">
        <v>86399.885615658102</v>
      </c>
      <c r="AM17" s="2">
        <v>146828.15313863099</v>
      </c>
      <c r="AN17" s="2">
        <v>87517.277706743494</v>
      </c>
      <c r="AO17" s="2">
        <v>97457.9900609818</v>
      </c>
      <c r="AP17" s="2">
        <v>103951.494248323</v>
      </c>
      <c r="AQ17" s="2">
        <v>119203.226585699</v>
      </c>
      <c r="AR17" s="2">
        <v>136698.739420698</v>
      </c>
      <c r="AS17" s="2">
        <v>147186.22591971001</v>
      </c>
      <c r="AT17" s="2">
        <v>93942.809593858896</v>
      </c>
      <c r="AU17" s="2">
        <v>150637.81217004501</v>
      </c>
      <c r="AV17" s="2">
        <v>96777.653804922797</v>
      </c>
      <c r="AW17" s="2">
        <v>142518.468309666</v>
      </c>
      <c r="AX17" s="2">
        <v>115800.016112315</v>
      </c>
      <c r="AY17" s="2">
        <v>125111.17521094601</v>
      </c>
      <c r="AZ17" s="2">
        <v>115327.34909562299</v>
      </c>
      <c r="BA17" s="2">
        <v>147854.91764981899</v>
      </c>
      <c r="BB17" s="2">
        <v>138576.59415861999</v>
      </c>
      <c r="BC17" s="2">
        <v>162945.89234529799</v>
      </c>
      <c r="BD17" s="2">
        <v>144313.30733018499</v>
      </c>
      <c r="BE17" s="2">
        <v>144504.01650058999</v>
      </c>
      <c r="BF17" s="2">
        <v>112015.88142135501</v>
      </c>
      <c r="BG17" s="2">
        <v>104669.75801998599</v>
      </c>
      <c r="BH17" s="2">
        <v>117784.795450116</v>
      </c>
      <c r="BI17" s="2">
        <v>88011.626921332296</v>
      </c>
      <c r="BJ17" s="2">
        <v>123295.823113516</v>
      </c>
      <c r="BK17" s="2">
        <v>95045.552509354602</v>
      </c>
      <c r="BL17" s="2">
        <v>116846.90849099999</v>
      </c>
      <c r="BM17" s="2">
        <v>131441.39418336999</v>
      </c>
      <c r="BN17" s="2">
        <v>96576.088088981807</v>
      </c>
      <c r="BO17" s="2">
        <v>115278.350913057</v>
      </c>
      <c r="BP17" s="2">
        <v>134146.09049747599</v>
      </c>
      <c r="BQ17" s="2">
        <v>119457.163242724</v>
      </c>
      <c r="BR17" s="2">
        <v>145798.707773945</v>
      </c>
      <c r="BS17" s="2">
        <v>146665.592322229</v>
      </c>
      <c r="BT17" s="2">
        <v>100059.768144776</v>
      </c>
      <c r="BU17" s="2">
        <v>166896.10178899599</v>
      </c>
      <c r="BV17" s="2">
        <v>134599.65922786901</v>
      </c>
      <c r="BW17" s="2">
        <v>127490.670293923</v>
      </c>
      <c r="BX17" s="2">
        <v>118872.302133522</v>
      </c>
      <c r="BY17" s="2">
        <v>105926.14961956799</v>
      </c>
      <c r="BZ17" s="2">
        <v>150155.19151011301</v>
      </c>
      <c r="CA17">
        <f t="shared" si="8"/>
        <v>-0.46335967078737095</v>
      </c>
      <c r="CB17">
        <f t="shared" si="9"/>
        <v>-0.30458477474579349</v>
      </c>
      <c r="CC17">
        <f t="shared" si="10"/>
        <v>1.4773594122220847E-2</v>
      </c>
      <c r="CD17">
        <f t="shared" si="11"/>
        <v>-0.17881266365723061</v>
      </c>
      <c r="CE17" s="3">
        <f t="shared" si="12"/>
        <v>1.1100666104277672E-2</v>
      </c>
      <c r="CF17" s="3">
        <f t="shared" si="13"/>
        <v>7.6199491433407054E-2</v>
      </c>
      <c r="CG17" s="3">
        <f t="shared" si="14"/>
        <v>0.75074316363771276</v>
      </c>
      <c r="CH17" s="3">
        <f t="shared" si="15"/>
        <v>0.27208759858924564</v>
      </c>
      <c r="CI17" s="2">
        <v>92612.759432818697</v>
      </c>
      <c r="CJ17" s="2">
        <v>91576.554050387203</v>
      </c>
      <c r="CK17" s="2">
        <v>117903.373211293</v>
      </c>
      <c r="CL17" s="2">
        <v>127402.272884441</v>
      </c>
      <c r="CM17" s="2">
        <v>117508.182340482</v>
      </c>
      <c r="CN17" s="2">
        <v>118275.078431202</v>
      </c>
      <c r="CO17" s="2">
        <v>120860.729771792</v>
      </c>
      <c r="CP17" s="2">
        <v>117807.06050670199</v>
      </c>
      <c r="CQ17" s="2">
        <v>117392.755744539</v>
      </c>
      <c r="CR17" s="2">
        <v>126059.20909244299</v>
      </c>
      <c r="CS17" s="2">
        <v>115214.127863937</v>
      </c>
      <c r="CT17" s="2">
        <v>117579.01964548801</v>
      </c>
      <c r="CU17" s="2">
        <v>171.940833800375</v>
      </c>
      <c r="CV17" s="2">
        <v>172.926955925795</v>
      </c>
      <c r="CW17" s="2">
        <v>168.24115665670601</v>
      </c>
      <c r="CX17" s="2">
        <v>190.517360406265</v>
      </c>
      <c r="CY17" s="2">
        <v>200.251684896348</v>
      </c>
      <c r="CZ17" s="1">
        <v>191.83813443573001</v>
      </c>
    </row>
    <row r="18" spans="1:104" x14ac:dyDescent="0.2">
      <c r="A18">
        <v>7268</v>
      </c>
      <c r="B18" s="2">
        <v>76</v>
      </c>
      <c r="C18" s="2" t="s">
        <v>8</v>
      </c>
      <c r="D18" s="2" t="s">
        <v>30</v>
      </c>
      <c r="E18" s="2" t="s">
        <v>29</v>
      </c>
      <c r="F18" s="2" t="s">
        <v>28</v>
      </c>
      <c r="G18" s="2" t="s">
        <v>28</v>
      </c>
      <c r="H18" s="2">
        <v>2</v>
      </c>
      <c r="I18" s="2" t="s">
        <v>27</v>
      </c>
      <c r="J18" s="2">
        <v>777.53075999999999</v>
      </c>
      <c r="K18" s="2">
        <v>777.5308</v>
      </c>
      <c r="L18" s="2">
        <v>776.5223866</v>
      </c>
      <c r="M18" s="2">
        <v>4.9059999999999997</v>
      </c>
      <c r="N18" s="2">
        <v>4.91</v>
      </c>
      <c r="O18" s="2">
        <v>0.97653142402545756</v>
      </c>
      <c r="P18" s="5" t="s">
        <v>3</v>
      </c>
      <c r="Q18" s="2">
        <v>5.0279999999999996</v>
      </c>
      <c r="R18" s="2">
        <v>1</v>
      </c>
      <c r="S18" s="2" t="s">
        <v>2</v>
      </c>
      <c r="T18" s="2" t="s">
        <v>1</v>
      </c>
      <c r="U18">
        <f t="shared" si="0"/>
        <v>0.43820827023004311</v>
      </c>
      <c r="V18">
        <f t="shared" si="1"/>
        <v>0.33356958013653776</v>
      </c>
      <c r="W18">
        <f t="shared" si="2"/>
        <v>0.75179454554375669</v>
      </c>
      <c r="X18">
        <f t="shared" si="3"/>
        <v>0.56292500359911224</v>
      </c>
      <c r="Y18">
        <f t="shared" si="4"/>
        <v>5.0466650689475114E-3</v>
      </c>
      <c r="Z18">
        <f t="shared" si="5"/>
        <v>7.6574136112072588E-2</v>
      </c>
      <c r="AA18">
        <f t="shared" si="6"/>
        <v>3.3469482336879616E-2</v>
      </c>
      <c r="AB18">
        <f t="shared" si="7"/>
        <v>1.2548033106622978E-3</v>
      </c>
      <c r="AC18" s="2">
        <v>45384.676454479697</v>
      </c>
      <c r="AD18" s="2">
        <v>55687.289835166797</v>
      </c>
      <c r="AE18" s="2">
        <v>49518.937215633101</v>
      </c>
      <c r="AF18" s="2">
        <v>47158.7733930881</v>
      </c>
      <c r="AG18" s="2">
        <v>43358.961572754699</v>
      </c>
      <c r="AH18" s="2">
        <v>63896.391763380503</v>
      </c>
      <c r="AI18" s="2">
        <v>52676.764536113798</v>
      </c>
      <c r="AJ18" s="2">
        <v>65401.269139267097</v>
      </c>
      <c r="AK18" s="2">
        <v>69626.093099498597</v>
      </c>
      <c r="AL18" s="2">
        <v>58679.910193813397</v>
      </c>
      <c r="AM18" s="2">
        <v>84208.686439403406</v>
      </c>
      <c r="AN18" s="2">
        <v>45582.764153800003</v>
      </c>
      <c r="AO18" s="2">
        <v>55008.508188749103</v>
      </c>
      <c r="AP18" s="2">
        <v>65960.179741671993</v>
      </c>
      <c r="AQ18" s="2">
        <v>59426.061732211303</v>
      </c>
      <c r="AR18" s="2">
        <v>84329.934279300898</v>
      </c>
      <c r="AS18" s="2">
        <v>87009.477172673796</v>
      </c>
      <c r="AT18" s="2">
        <v>43759.784988969703</v>
      </c>
      <c r="AU18" s="2">
        <v>79410.002426078398</v>
      </c>
      <c r="AV18" s="2">
        <v>57882.433664192402</v>
      </c>
      <c r="AW18" s="2">
        <v>69665.829394647706</v>
      </c>
      <c r="AX18" s="2">
        <v>55815.382676368601</v>
      </c>
      <c r="AY18" s="2">
        <v>69121.3589709316</v>
      </c>
      <c r="AZ18" s="2">
        <v>76566.546536985799</v>
      </c>
      <c r="BA18" s="2">
        <v>77549.082836232497</v>
      </c>
      <c r="BB18" s="2">
        <v>71313.586407773706</v>
      </c>
      <c r="BC18" s="2">
        <v>65127.755309542699</v>
      </c>
      <c r="BD18" s="2">
        <v>76698.330820949806</v>
      </c>
      <c r="BE18" s="2">
        <v>71024.552563967402</v>
      </c>
      <c r="BF18" s="2">
        <v>54154.787974516003</v>
      </c>
      <c r="BG18" s="2">
        <v>57110.352204405099</v>
      </c>
      <c r="BH18" s="2">
        <v>68618.331193764694</v>
      </c>
      <c r="BI18" s="2">
        <v>50559.574291553297</v>
      </c>
      <c r="BJ18" s="2">
        <v>64315.372867008598</v>
      </c>
      <c r="BK18" s="2">
        <v>54718.607402663103</v>
      </c>
      <c r="BL18" s="2">
        <v>62111.467805634398</v>
      </c>
      <c r="BM18" s="2">
        <v>62549.252216846297</v>
      </c>
      <c r="BN18" s="2">
        <v>54324.827063563796</v>
      </c>
      <c r="BO18" s="2">
        <v>58172.429021001801</v>
      </c>
      <c r="BP18" s="2">
        <v>73793.154572266794</v>
      </c>
      <c r="BQ18" s="2">
        <v>89863.249044842203</v>
      </c>
      <c r="BR18" s="2">
        <v>81886.174099619806</v>
      </c>
      <c r="BS18" s="2">
        <v>69879.443929615896</v>
      </c>
      <c r="BT18" s="2">
        <v>67992.330867351993</v>
      </c>
      <c r="BU18" s="2">
        <v>89605.518257126503</v>
      </c>
      <c r="BV18" s="2">
        <v>72926.970217109701</v>
      </c>
      <c r="BW18" s="2">
        <v>73691.346528867201</v>
      </c>
      <c r="BX18" s="2">
        <v>65353.963982995803</v>
      </c>
      <c r="BY18" s="2">
        <v>53543.178937400698</v>
      </c>
      <c r="BZ18" s="2">
        <v>91925.119750197293</v>
      </c>
      <c r="CA18">
        <f t="shared" si="8"/>
        <v>-0.31456555599862696</v>
      </c>
      <c r="CB18">
        <f t="shared" si="9"/>
        <v>-0.19345817617884534</v>
      </c>
      <c r="CC18">
        <f t="shared" si="10"/>
        <v>0.20530204574761843</v>
      </c>
      <c r="CD18">
        <f t="shared" si="11"/>
        <v>3.8134620092545556E-2</v>
      </c>
      <c r="CE18" s="3">
        <f t="shared" si="12"/>
        <v>0.12668406993295733</v>
      </c>
      <c r="CF18" s="3">
        <f t="shared" si="13"/>
        <v>0.3090606389290193</v>
      </c>
      <c r="CG18" s="3">
        <f t="shared" si="14"/>
        <v>7.9307664696521826E-2</v>
      </c>
      <c r="CH18" s="3">
        <f t="shared" si="15"/>
        <v>0.6167656068972871</v>
      </c>
      <c r="CI18" s="2">
        <v>31612.089896884401</v>
      </c>
      <c r="CJ18" s="2">
        <v>32071.273689365498</v>
      </c>
      <c r="CK18" s="2">
        <v>41258.735323428802</v>
      </c>
      <c r="CL18" s="2">
        <v>41302.085129271603</v>
      </c>
      <c r="CM18" s="2">
        <v>65780.8094206237</v>
      </c>
      <c r="CN18" s="2">
        <v>65619.133295632404</v>
      </c>
      <c r="CO18" s="2">
        <v>67035.869731539104</v>
      </c>
      <c r="CP18" s="2">
        <v>63142.525941410597</v>
      </c>
      <c r="CQ18" s="2">
        <v>66137.232413665595</v>
      </c>
      <c r="CR18" s="2">
        <v>65884.231803700997</v>
      </c>
      <c r="CS18" s="2">
        <v>63743.429495721997</v>
      </c>
      <c r="CT18" s="2">
        <v>67208.551504784497</v>
      </c>
      <c r="CU18" s="2">
        <v>190.34963907831599</v>
      </c>
      <c r="CV18" s="2">
        <v>191.044046397393</v>
      </c>
      <c r="CW18" s="2">
        <v>189.985678199924</v>
      </c>
      <c r="CX18" s="2">
        <v>220.56483278855501</v>
      </c>
      <c r="CY18" s="2">
        <v>218.147838283673</v>
      </c>
      <c r="CZ18" s="1">
        <v>219.70961388555901</v>
      </c>
    </row>
    <row r="19" spans="1:104" x14ac:dyDescent="0.2">
      <c r="A19">
        <v>7267</v>
      </c>
      <c r="B19" s="2">
        <v>74</v>
      </c>
      <c r="C19" s="2" t="s">
        <v>8</v>
      </c>
      <c r="D19" s="2" t="s">
        <v>26</v>
      </c>
      <c r="E19" s="2" t="s">
        <v>25</v>
      </c>
      <c r="F19" s="2" t="s">
        <v>24</v>
      </c>
      <c r="G19" s="2" t="s">
        <v>24</v>
      </c>
      <c r="H19" s="2">
        <v>2</v>
      </c>
      <c r="I19" s="2" t="s">
        <v>23</v>
      </c>
      <c r="J19" s="2">
        <v>795.57853</v>
      </c>
      <c r="K19" s="2">
        <v>795.57849999999996</v>
      </c>
      <c r="L19" s="2">
        <v>794.57015660000002</v>
      </c>
      <c r="M19" s="2">
        <v>6.2329999999999997</v>
      </c>
      <c r="N19" s="2">
        <v>6.23</v>
      </c>
      <c r="O19" s="2">
        <v>1.2390612569610184</v>
      </c>
      <c r="P19" s="5" t="s">
        <v>3</v>
      </c>
      <c r="Q19" s="2">
        <v>5.0279999999999996</v>
      </c>
      <c r="R19" s="2">
        <v>1</v>
      </c>
      <c r="S19" s="2" t="s">
        <v>2</v>
      </c>
      <c r="T19" s="2" t="s">
        <v>1</v>
      </c>
      <c r="U19">
        <f t="shared" si="0"/>
        <v>0.44529380180210526</v>
      </c>
      <c r="V19">
        <f t="shared" si="1"/>
        <v>0.69334562196702676</v>
      </c>
      <c r="W19">
        <f t="shared" si="2"/>
        <v>0.62484933789958563</v>
      </c>
      <c r="X19">
        <f t="shared" si="3"/>
        <v>0.61875613553922082</v>
      </c>
      <c r="Y19">
        <f t="shared" si="4"/>
        <v>8.7207412888407037E-3</v>
      </c>
      <c r="Z19">
        <f t="shared" si="5"/>
        <v>6.0149969816586093E-3</v>
      </c>
      <c r="AA19">
        <f t="shared" si="6"/>
        <v>0.10090525475890058</v>
      </c>
      <c r="AB19">
        <f t="shared" si="7"/>
        <v>1.3647426397368493E-4</v>
      </c>
      <c r="AC19" s="2">
        <v>123218.933485801</v>
      </c>
      <c r="AD19" s="2">
        <v>122055.78291629</v>
      </c>
      <c r="AE19" s="2">
        <v>107279.856717282</v>
      </c>
      <c r="AF19" s="2">
        <v>100292.201245273</v>
      </c>
      <c r="AG19" s="2">
        <v>100525.44165550399</v>
      </c>
      <c r="AH19" s="2">
        <v>146071.32745425199</v>
      </c>
      <c r="AI19" s="2">
        <v>115681.525437055</v>
      </c>
      <c r="AJ19" s="2">
        <v>150466.79912427699</v>
      </c>
      <c r="AK19" s="2">
        <v>165299.382568406</v>
      </c>
      <c r="AL19" s="2">
        <v>140436.952833291</v>
      </c>
      <c r="AM19" s="2">
        <v>215565.875283145</v>
      </c>
      <c r="AN19" s="2">
        <v>118983.06459356401</v>
      </c>
      <c r="AO19" s="2">
        <v>165516.02190302801</v>
      </c>
      <c r="AP19" s="2">
        <v>184791.581687328</v>
      </c>
      <c r="AQ19" s="2">
        <v>173474.64777864999</v>
      </c>
      <c r="AR19" s="2">
        <v>176997.12294388001</v>
      </c>
      <c r="AS19" s="2">
        <v>186382.44010486099</v>
      </c>
      <c r="AT19" s="2">
        <v>93023.214924630505</v>
      </c>
      <c r="AU19" s="2">
        <v>165430.879361656</v>
      </c>
      <c r="AV19" s="2">
        <v>111064.419814316</v>
      </c>
      <c r="AW19" s="2">
        <v>164733.65774193601</v>
      </c>
      <c r="AX19" s="2">
        <v>145104.63368512699</v>
      </c>
      <c r="AY19" s="2">
        <v>175723.907251684</v>
      </c>
      <c r="AZ19" s="2">
        <v>154947.040336026</v>
      </c>
      <c r="BA19" s="2">
        <v>173714.22443660701</v>
      </c>
      <c r="BB19" s="2">
        <v>172012.89585485801</v>
      </c>
      <c r="BC19" s="2">
        <v>145397.77663180401</v>
      </c>
      <c r="BD19" s="2">
        <v>179923.92596038399</v>
      </c>
      <c r="BE19" s="2">
        <v>156897.214525975</v>
      </c>
      <c r="BF19" s="2">
        <v>123802.73728851401</v>
      </c>
      <c r="BG19" s="2">
        <v>128070.127229765</v>
      </c>
      <c r="BH19" s="2">
        <v>154488.18302319801</v>
      </c>
      <c r="BI19" s="2">
        <v>124147.580025959</v>
      </c>
      <c r="BJ19" s="2">
        <v>138614.34154625901</v>
      </c>
      <c r="BK19" s="2">
        <v>118854.68074476</v>
      </c>
      <c r="BL19" s="2">
        <v>158231.47526850601</v>
      </c>
      <c r="BM19" s="2">
        <v>134104.48982586499</v>
      </c>
      <c r="BN19" s="2">
        <v>133692.826966416</v>
      </c>
      <c r="BO19" s="2">
        <v>117657.799316566</v>
      </c>
      <c r="BP19" s="2">
        <v>205800.81614507301</v>
      </c>
      <c r="BQ19" s="2">
        <v>191748.37976129001</v>
      </c>
      <c r="BR19" s="2">
        <v>151315.91372861899</v>
      </c>
      <c r="BS19" s="2">
        <v>124008.029327097</v>
      </c>
      <c r="BT19" s="2">
        <v>126245.86524242299</v>
      </c>
      <c r="BU19" s="2">
        <v>201465.21182392901</v>
      </c>
      <c r="BV19" s="2">
        <v>201644.585825938</v>
      </c>
      <c r="BW19" s="2">
        <v>175393.35383610599</v>
      </c>
      <c r="BX19" s="2">
        <v>184625.18911746499</v>
      </c>
      <c r="BY19" s="2">
        <v>167137.070804925</v>
      </c>
      <c r="BZ19" s="2">
        <v>214341.58484362299</v>
      </c>
      <c r="CA19">
        <f t="shared" si="8"/>
        <v>-0.29288573800463191</v>
      </c>
      <c r="CB19">
        <f t="shared" si="9"/>
        <v>-0.22646220009102927</v>
      </c>
      <c r="CC19">
        <f t="shared" si="10"/>
        <v>-5.2256017464988209E-2</v>
      </c>
      <c r="CD19">
        <f t="shared" si="11"/>
        <v>0.23477965913618118</v>
      </c>
      <c r="CE19" s="3">
        <f t="shared" si="12"/>
        <v>8.9214945893460851E-2</v>
      </c>
      <c r="CF19" s="3">
        <f t="shared" si="13"/>
        <v>0.76346833549514959</v>
      </c>
      <c r="CG19" s="3">
        <f t="shared" si="14"/>
        <v>0.86434312995711871</v>
      </c>
      <c r="CH19" s="3">
        <f t="shared" si="15"/>
        <v>3.6369816194022131E-2</v>
      </c>
      <c r="CI19" s="2">
        <v>63031.582258865201</v>
      </c>
      <c r="CJ19" s="2">
        <v>63992.106768500598</v>
      </c>
      <c r="CK19" s="2">
        <v>74080.681937786503</v>
      </c>
      <c r="CL19" s="2">
        <v>73849.921273459506</v>
      </c>
      <c r="CM19" s="2">
        <v>152920.61510528901</v>
      </c>
      <c r="CN19" s="2">
        <v>157780.83346146499</v>
      </c>
      <c r="CO19" s="2">
        <v>148004.44032030599</v>
      </c>
      <c r="CP19" s="2">
        <v>164585.203417446</v>
      </c>
      <c r="CQ19" s="2">
        <v>153822.47205391101</v>
      </c>
      <c r="CR19" s="2">
        <v>154227.39944684401</v>
      </c>
      <c r="CS19" s="2">
        <v>154659.66572650001</v>
      </c>
      <c r="CT19" s="2">
        <v>154157.33966799299</v>
      </c>
      <c r="CU19" s="2">
        <v>208.39510746918901</v>
      </c>
      <c r="CV19" s="2">
        <v>199.61067948388299</v>
      </c>
      <c r="CW19" s="2">
        <v>212.45660183679601</v>
      </c>
      <c r="CX19" s="2">
        <v>249.63098434983101</v>
      </c>
      <c r="CY19" s="2">
        <v>248.148237845251</v>
      </c>
      <c r="CZ19" s="1">
        <v>234.22112834107901</v>
      </c>
    </row>
    <row r="20" spans="1:104" x14ac:dyDescent="0.2">
      <c r="A20">
        <v>7265</v>
      </c>
      <c r="B20" s="2">
        <v>72</v>
      </c>
      <c r="C20" s="2" t="s">
        <v>8</v>
      </c>
      <c r="D20" s="2" t="s">
        <v>22</v>
      </c>
      <c r="E20" s="2" t="s">
        <v>21</v>
      </c>
      <c r="F20" s="2" t="s">
        <v>18</v>
      </c>
      <c r="G20" s="2" t="s">
        <v>18</v>
      </c>
      <c r="H20" s="2">
        <v>2</v>
      </c>
      <c r="I20" s="2" t="s">
        <v>17</v>
      </c>
      <c r="J20" s="2">
        <v>793.56286</v>
      </c>
      <c r="K20" s="2">
        <v>793.56290000000001</v>
      </c>
      <c r="L20" s="2">
        <v>792.55448660000002</v>
      </c>
      <c r="M20" s="2">
        <v>5.9530000000000003</v>
      </c>
      <c r="N20" s="2">
        <v>5.95</v>
      </c>
      <c r="O20" s="2">
        <v>1.1833731105807479</v>
      </c>
      <c r="P20" s="5" t="s">
        <v>3</v>
      </c>
      <c r="Q20" s="2">
        <v>5.0279999999999996</v>
      </c>
      <c r="R20" s="2">
        <v>1</v>
      </c>
      <c r="S20" s="2" t="s">
        <v>2</v>
      </c>
      <c r="T20" s="2" t="s">
        <v>1</v>
      </c>
      <c r="U20">
        <f t="shared" si="0"/>
        <v>0.61807537738830998</v>
      </c>
      <c r="V20">
        <f t="shared" si="1"/>
        <v>0.77071854803437334</v>
      </c>
      <c r="W20">
        <f t="shared" si="2"/>
        <v>0.55610824164045691</v>
      </c>
      <c r="X20">
        <f t="shared" si="3"/>
        <v>0.70278097010491436</v>
      </c>
      <c r="Y20">
        <f t="shared" si="4"/>
        <v>2.3445245619044034E-3</v>
      </c>
      <c r="Z20">
        <f t="shared" si="5"/>
        <v>6.1588218057158627E-5</v>
      </c>
      <c r="AA20">
        <f t="shared" si="6"/>
        <v>5.2715720723582847E-2</v>
      </c>
      <c r="AB20">
        <f t="shared" si="7"/>
        <v>7.8910191828356641E-5</v>
      </c>
      <c r="AC20" s="2">
        <v>320977.17561037099</v>
      </c>
      <c r="AD20" s="2">
        <v>348917.29158178798</v>
      </c>
      <c r="AE20" s="2">
        <v>314682.62905065098</v>
      </c>
      <c r="AF20" s="2">
        <v>281932.71381958202</v>
      </c>
      <c r="AG20" s="2">
        <v>298759.25950104598</v>
      </c>
      <c r="AH20" s="2">
        <v>482983.17047874501</v>
      </c>
      <c r="AI20" s="2">
        <v>343193.85559610702</v>
      </c>
      <c r="AJ20" s="2">
        <v>488326.05895344698</v>
      </c>
      <c r="AK20" s="2">
        <v>546055.24392309994</v>
      </c>
      <c r="AL20" s="2">
        <v>478237.957526204</v>
      </c>
      <c r="AM20" s="2">
        <v>632554.76901586901</v>
      </c>
      <c r="AN20" s="2">
        <v>474345.77856538299</v>
      </c>
      <c r="AO20" s="2">
        <v>536886.11339678103</v>
      </c>
      <c r="AP20" s="2">
        <v>613078.45045473601</v>
      </c>
      <c r="AQ20" s="2">
        <v>517838.38912726199</v>
      </c>
      <c r="AR20" s="2">
        <v>571522.42613775597</v>
      </c>
      <c r="AS20" s="2">
        <v>546674.15901543002</v>
      </c>
      <c r="AT20" s="2">
        <v>277432.99643189198</v>
      </c>
      <c r="AU20" s="2">
        <v>462677.128366063</v>
      </c>
      <c r="AV20" s="2">
        <v>355683.50725996302</v>
      </c>
      <c r="AW20" s="2">
        <v>516049.81862496998</v>
      </c>
      <c r="AX20" s="2">
        <v>414973.12739461102</v>
      </c>
      <c r="AY20" s="2">
        <v>512189.79621712101</v>
      </c>
      <c r="AZ20" s="2">
        <v>508463.05158220697</v>
      </c>
      <c r="BA20" s="2">
        <v>552791.81735199201</v>
      </c>
      <c r="BB20" s="2">
        <v>385386.231248606</v>
      </c>
      <c r="BC20" s="2">
        <v>363691.57807534101</v>
      </c>
      <c r="BD20" s="2">
        <v>366407.62643831898</v>
      </c>
      <c r="BE20" s="2">
        <v>370108.181559132</v>
      </c>
      <c r="BF20" s="2">
        <v>295104.89183490397</v>
      </c>
      <c r="BG20" s="2">
        <v>307788.67640016199</v>
      </c>
      <c r="BH20" s="2">
        <v>327941.11402494198</v>
      </c>
      <c r="BI20" s="2">
        <v>298499.70635311701</v>
      </c>
      <c r="BJ20" s="2">
        <v>354260.47940387699</v>
      </c>
      <c r="BK20" s="2">
        <v>306337.31971403502</v>
      </c>
      <c r="BL20" s="2">
        <v>393411.31765816401</v>
      </c>
      <c r="BM20" s="2">
        <v>316309.225363062</v>
      </c>
      <c r="BN20" s="2">
        <v>366212.79368602898</v>
      </c>
      <c r="BO20" s="2">
        <v>345535.09225117101</v>
      </c>
      <c r="BP20" s="2">
        <v>529395.99943970097</v>
      </c>
      <c r="BQ20" s="2">
        <v>438749.25263821799</v>
      </c>
      <c r="BR20" s="2">
        <v>381744.612961073</v>
      </c>
      <c r="BS20" s="2">
        <v>308670.81997856399</v>
      </c>
      <c r="BT20" s="2">
        <v>337246.750564432</v>
      </c>
      <c r="BU20" s="2">
        <v>526766.80383532098</v>
      </c>
      <c r="BV20" s="2">
        <v>443405.87650493497</v>
      </c>
      <c r="BW20" s="2">
        <v>452006.80958972598</v>
      </c>
      <c r="BX20" s="2">
        <v>466734.481996088</v>
      </c>
      <c r="BY20" s="2">
        <v>356464.88659907301</v>
      </c>
      <c r="BZ20" s="2">
        <v>494092.26089792099</v>
      </c>
      <c r="CA20">
        <f t="shared" si="8"/>
        <v>-0.25150937648324462</v>
      </c>
      <c r="CB20">
        <f t="shared" si="9"/>
        <v>-7.6733938731955731E-4</v>
      </c>
      <c r="CC20">
        <f t="shared" si="10"/>
        <v>5.9158266266417306E-2</v>
      </c>
      <c r="CD20">
        <f t="shared" si="11"/>
        <v>0.30289497522693548</v>
      </c>
      <c r="CE20" s="3">
        <f t="shared" si="12"/>
        <v>8.1565144945967366E-2</v>
      </c>
      <c r="CF20" s="3">
        <f t="shared" si="13"/>
        <v>0.4220507640089356</v>
      </c>
      <c r="CG20" s="3">
        <f t="shared" si="14"/>
        <v>0.34016660498749857</v>
      </c>
      <c r="CH20" s="3">
        <f t="shared" si="15"/>
        <v>1.4986707483321385E-2</v>
      </c>
      <c r="CI20" s="2">
        <v>88012.961528015294</v>
      </c>
      <c r="CJ20" s="2">
        <v>87148.5847179993</v>
      </c>
      <c r="CK20" s="2">
        <v>116028.315449163</v>
      </c>
      <c r="CL20" s="2">
        <v>118642.94015290499</v>
      </c>
      <c r="CM20" s="2">
        <v>442111.65128576901</v>
      </c>
      <c r="CN20" s="2">
        <v>419708.54085518298</v>
      </c>
      <c r="CO20" s="2">
        <v>410572.60559376801</v>
      </c>
      <c r="CP20" s="2">
        <v>414327.81342231901</v>
      </c>
      <c r="CQ20" s="2">
        <v>412740.07493684802</v>
      </c>
      <c r="CR20" s="2">
        <v>431078.77257762197</v>
      </c>
      <c r="CS20" s="2">
        <v>432898.54549844097</v>
      </c>
      <c r="CT20" s="2">
        <v>422302.81006172398</v>
      </c>
      <c r="CU20" s="2">
        <v>229.78906755886501</v>
      </c>
      <c r="CV20" s="2">
        <v>208.040359685037</v>
      </c>
      <c r="CW20" s="2">
        <v>222.61201275789799</v>
      </c>
      <c r="CX20" s="2">
        <v>239.60715547875</v>
      </c>
      <c r="CY20" s="2">
        <v>238.72004937729801</v>
      </c>
      <c r="CZ20" s="1">
        <v>256.96261128229099</v>
      </c>
    </row>
    <row r="21" spans="1:104" x14ac:dyDescent="0.2">
      <c r="A21">
        <v>7266</v>
      </c>
      <c r="B21" s="2">
        <v>73</v>
      </c>
      <c r="C21" s="2" t="s">
        <v>8</v>
      </c>
      <c r="D21" s="2" t="s">
        <v>20</v>
      </c>
      <c r="E21" s="2" t="s">
        <v>19</v>
      </c>
      <c r="F21" s="2" t="s">
        <v>18</v>
      </c>
      <c r="G21" s="2" t="s">
        <v>18</v>
      </c>
      <c r="H21" s="2">
        <v>2</v>
      </c>
      <c r="I21" s="2" t="s">
        <v>17</v>
      </c>
      <c r="J21" s="2">
        <v>793.56281000000001</v>
      </c>
      <c r="K21" s="2">
        <v>793.56280000000004</v>
      </c>
      <c r="L21" s="2">
        <v>792.55443660000003</v>
      </c>
      <c r="M21" s="2">
        <v>5.6390000000000002</v>
      </c>
      <c r="N21" s="2">
        <v>5.64</v>
      </c>
      <c r="O21" s="2">
        <v>1.1217183770883055</v>
      </c>
      <c r="P21" s="5" t="s">
        <v>3</v>
      </c>
      <c r="Q21" s="2">
        <v>5.0279999999999996</v>
      </c>
      <c r="R21" s="2">
        <v>1</v>
      </c>
      <c r="S21" s="2" t="s">
        <v>2</v>
      </c>
      <c r="T21" s="2" t="s">
        <v>1</v>
      </c>
      <c r="U21">
        <f t="shared" si="0"/>
        <v>0.25059074435308792</v>
      </c>
      <c r="V21">
        <f t="shared" si="1"/>
        <v>7.8818510741863093E-2</v>
      </c>
      <c r="W21">
        <f t="shared" si="2"/>
        <v>0.61090560818234885</v>
      </c>
      <c r="X21">
        <f t="shared" si="3"/>
        <v>0.58709402030144686</v>
      </c>
      <c r="Y21">
        <f t="shared" si="4"/>
        <v>0.10990125141783143</v>
      </c>
      <c r="Z21">
        <f t="shared" si="5"/>
        <v>0.30873092561386556</v>
      </c>
      <c r="AA21">
        <f t="shared" si="6"/>
        <v>3.8446488086144676E-2</v>
      </c>
      <c r="AB21">
        <f t="shared" si="7"/>
        <v>1.842599785943038E-3</v>
      </c>
      <c r="AC21" s="2">
        <v>377576.50506463699</v>
      </c>
      <c r="AD21" s="2">
        <v>466299.885254263</v>
      </c>
      <c r="AE21" s="2">
        <v>409861.34151589498</v>
      </c>
      <c r="AF21" s="2">
        <v>393914.88001319498</v>
      </c>
      <c r="AG21" s="2">
        <v>401916.62259156699</v>
      </c>
      <c r="AH21" s="2">
        <v>488616.69367041101</v>
      </c>
      <c r="AI21" s="2">
        <v>394432.44029533502</v>
      </c>
      <c r="AJ21" s="2">
        <v>483545.91188075102</v>
      </c>
      <c r="AK21" s="2">
        <v>478157.85977279599</v>
      </c>
      <c r="AL21" s="2">
        <v>422568.34336195601</v>
      </c>
      <c r="AM21" s="2">
        <v>573444.72542208305</v>
      </c>
      <c r="AN21" s="2">
        <v>344395.75414887798</v>
      </c>
      <c r="AO21" s="2">
        <v>424485.347940862</v>
      </c>
      <c r="AP21" s="2">
        <v>543506.61395994399</v>
      </c>
      <c r="AQ21" s="2">
        <v>411027.219847865</v>
      </c>
      <c r="AR21" s="2">
        <v>666977.08283835696</v>
      </c>
      <c r="AS21" s="2">
        <v>629276.72088214406</v>
      </c>
      <c r="AT21" s="2">
        <v>372971.66816372599</v>
      </c>
      <c r="AU21" s="2">
        <v>613814.12881534395</v>
      </c>
      <c r="AV21" s="2">
        <v>474860.71977646701</v>
      </c>
      <c r="AW21" s="2">
        <v>647339.20180544804</v>
      </c>
      <c r="AX21" s="2">
        <v>449198.41771486</v>
      </c>
      <c r="AY21" s="2">
        <v>603766.31387592701</v>
      </c>
      <c r="AZ21" s="2">
        <v>593964.67272698099</v>
      </c>
      <c r="BA21" s="2">
        <v>632644.76418598997</v>
      </c>
      <c r="BB21" s="2">
        <v>738905.73150489002</v>
      </c>
      <c r="BC21" s="2">
        <v>648540.29868460295</v>
      </c>
      <c r="BD21" s="2">
        <v>715320.22349938296</v>
      </c>
      <c r="BE21" s="2">
        <v>669233.17384172406</v>
      </c>
      <c r="BF21" s="2">
        <v>603786.89934142597</v>
      </c>
      <c r="BG21" s="2">
        <v>589230.30699314806</v>
      </c>
      <c r="BH21" s="2">
        <v>669857.74587518896</v>
      </c>
      <c r="BI21" s="2">
        <v>530588.50035180699</v>
      </c>
      <c r="BJ21" s="2">
        <v>655950.78251626797</v>
      </c>
      <c r="BK21" s="2">
        <v>541655.06255965098</v>
      </c>
      <c r="BL21" s="2">
        <v>656680.13666058704</v>
      </c>
      <c r="BM21" s="2">
        <v>574638.66977673699</v>
      </c>
      <c r="BN21" s="2">
        <v>545419.55998142296</v>
      </c>
      <c r="BO21" s="2">
        <v>526312.76613534405</v>
      </c>
      <c r="BP21" s="2">
        <v>777557.83841929096</v>
      </c>
      <c r="BQ21" s="2">
        <v>895224.86808967101</v>
      </c>
      <c r="BR21" s="2">
        <v>785807.59919555101</v>
      </c>
      <c r="BS21" s="2">
        <v>743046.71485846897</v>
      </c>
      <c r="BT21" s="2">
        <v>733257.57775922504</v>
      </c>
      <c r="BU21" s="2">
        <v>964805.85958968406</v>
      </c>
      <c r="BV21" s="2">
        <v>849689.67514736694</v>
      </c>
      <c r="BW21" s="2">
        <v>729420.51449122</v>
      </c>
      <c r="BX21" s="2">
        <v>735414.58542492404</v>
      </c>
      <c r="BY21" s="2">
        <v>708235.98117277597</v>
      </c>
      <c r="BZ21" s="2">
        <v>978001.62347465404</v>
      </c>
      <c r="CA21">
        <f t="shared" si="8"/>
        <v>-0.1836773243054253</v>
      </c>
      <c r="CB21">
        <f t="shared" si="9"/>
        <v>-0.21985388047833918</v>
      </c>
      <c r="CC21">
        <f t="shared" si="10"/>
        <v>0.23166715808439775</v>
      </c>
      <c r="CD21">
        <f t="shared" si="11"/>
        <v>0.13604882825131046</v>
      </c>
      <c r="CE21" s="3">
        <f t="shared" si="12"/>
        <v>7.0789400305434555E-2</v>
      </c>
      <c r="CF21" s="3">
        <f t="shared" si="13"/>
        <v>0.28881087880533091</v>
      </c>
      <c r="CG21" s="3">
        <f t="shared" si="14"/>
        <v>1.9616774650761497E-2</v>
      </c>
      <c r="CH21" s="3">
        <f t="shared" si="15"/>
        <v>5.6929156547878397E-2</v>
      </c>
      <c r="CI21" s="2">
        <v>226213.00029229099</v>
      </c>
      <c r="CJ21" s="2">
        <v>216354.739755121</v>
      </c>
      <c r="CK21" s="2">
        <v>339888.253729438</v>
      </c>
      <c r="CL21" s="2">
        <v>344514.529362328</v>
      </c>
      <c r="CM21" s="2">
        <v>603338.01557922503</v>
      </c>
      <c r="CN21" s="2">
        <v>616841.14493341802</v>
      </c>
      <c r="CO21" s="2">
        <v>578728.12217178894</v>
      </c>
      <c r="CP21" s="2">
        <v>637040.53843088297</v>
      </c>
      <c r="CQ21" s="2">
        <v>618379.66653877601</v>
      </c>
      <c r="CR21" s="2">
        <v>608192.039769197</v>
      </c>
      <c r="CS21" s="2">
        <v>611538.32043577498</v>
      </c>
      <c r="CT21" s="2">
        <v>597540.78144576598</v>
      </c>
      <c r="CU21" s="2">
        <v>226.21986437534599</v>
      </c>
      <c r="CV21" s="2">
        <v>244.32140374027901</v>
      </c>
      <c r="CW21" s="2">
        <v>257.296059737343</v>
      </c>
      <c r="CX21" s="2">
        <v>258.75964143393702</v>
      </c>
      <c r="CY21" s="2">
        <v>235.70405171412099</v>
      </c>
      <c r="CZ21" s="1">
        <v>282.92825012084199</v>
      </c>
    </row>
    <row r="22" spans="1:104" x14ac:dyDescent="0.2">
      <c r="A22">
        <v>7264</v>
      </c>
      <c r="B22" s="2">
        <v>67</v>
      </c>
      <c r="C22" s="2" t="s">
        <v>8</v>
      </c>
      <c r="D22" s="2" t="s">
        <v>16</v>
      </c>
      <c r="E22" s="2" t="s">
        <v>15</v>
      </c>
      <c r="F22" s="2" t="s">
        <v>14</v>
      </c>
      <c r="G22" s="2" t="s">
        <v>14</v>
      </c>
      <c r="H22" s="2">
        <v>2</v>
      </c>
      <c r="I22" s="2" t="s">
        <v>13</v>
      </c>
      <c r="J22" s="2">
        <v>791.54791</v>
      </c>
      <c r="K22" s="2">
        <v>791.54790000000003</v>
      </c>
      <c r="L22" s="2">
        <v>790.53953660000002</v>
      </c>
      <c r="M22" s="2">
        <v>5.3659999999999997</v>
      </c>
      <c r="N22" s="2">
        <v>5.37</v>
      </c>
      <c r="O22" s="2">
        <v>1.068019093078759</v>
      </c>
      <c r="P22" s="5" t="s">
        <v>3</v>
      </c>
      <c r="Q22" s="2">
        <v>5.0279999999999996</v>
      </c>
      <c r="R22" s="2">
        <v>2</v>
      </c>
      <c r="S22" s="2" t="s">
        <v>2</v>
      </c>
      <c r="T22" s="2" t="s">
        <v>1</v>
      </c>
      <c r="U22">
        <f t="shared" si="0"/>
        <v>0.34971737088720939</v>
      </c>
      <c r="V22">
        <f t="shared" si="1"/>
        <v>0.33549113514501172</v>
      </c>
      <c r="W22">
        <f t="shared" si="2"/>
        <v>0.68141658563550322</v>
      </c>
      <c r="X22">
        <f t="shared" si="3"/>
        <v>0.58098290765004013</v>
      </c>
      <c r="Y22">
        <f t="shared" si="4"/>
        <v>2.2088778484809283E-2</v>
      </c>
      <c r="Z22">
        <f t="shared" si="5"/>
        <v>4.7942360140255449E-2</v>
      </c>
      <c r="AA22">
        <f t="shared" si="6"/>
        <v>3.5524593628729013E-2</v>
      </c>
      <c r="AB22">
        <f t="shared" si="7"/>
        <v>2.0899442347930485E-3</v>
      </c>
      <c r="AC22" s="2">
        <v>5038004.3051154101</v>
      </c>
      <c r="AD22" s="2">
        <v>6127427.9693167498</v>
      </c>
      <c r="AE22" s="2">
        <v>5456611.9362548804</v>
      </c>
      <c r="AF22" s="2">
        <v>5060778.6525503704</v>
      </c>
      <c r="AG22" s="2">
        <v>4921343.9701463496</v>
      </c>
      <c r="AH22" s="2">
        <v>6537136.5778236603</v>
      </c>
      <c r="AI22" s="2">
        <v>5656548.6466343701</v>
      </c>
      <c r="AJ22" s="2">
        <v>6449005.7071015798</v>
      </c>
      <c r="AK22" s="2">
        <v>6795408.8338144897</v>
      </c>
      <c r="AL22" s="2">
        <v>5698567.1755880304</v>
      </c>
      <c r="AM22" s="2">
        <v>7427815.9085740102</v>
      </c>
      <c r="AN22" s="2">
        <v>5129755.7030676901</v>
      </c>
      <c r="AO22" s="2">
        <v>6055958.3939420301</v>
      </c>
      <c r="AP22" s="2">
        <v>6727365.3790988699</v>
      </c>
      <c r="AQ22" s="2">
        <v>6385725.3791662604</v>
      </c>
      <c r="AR22" s="2">
        <v>9332753.0861016195</v>
      </c>
      <c r="AS22" s="2">
        <v>8313994.7312489199</v>
      </c>
      <c r="AT22" s="2">
        <v>4939890.2848033803</v>
      </c>
      <c r="AU22" s="2">
        <v>8116039.9188077999</v>
      </c>
      <c r="AV22" s="2">
        <v>6249521.3731974196</v>
      </c>
      <c r="AW22" s="2">
        <v>7739724.4133639596</v>
      </c>
      <c r="AX22" s="2">
        <v>5790839.0871575102</v>
      </c>
      <c r="AY22" s="2">
        <v>7340285.4792750599</v>
      </c>
      <c r="AZ22" s="2">
        <v>7570257.0233157501</v>
      </c>
      <c r="BA22" s="2">
        <v>7575060.4566598497</v>
      </c>
      <c r="BB22" s="2">
        <v>7068486.0932550495</v>
      </c>
      <c r="BC22" s="2">
        <v>6797418.2729510898</v>
      </c>
      <c r="BD22" s="2">
        <v>7026159.4300366798</v>
      </c>
      <c r="BE22" s="2">
        <v>7477204.6498385696</v>
      </c>
      <c r="BF22" s="2">
        <v>5815805.9847886702</v>
      </c>
      <c r="BG22" s="2">
        <v>6152761.6203750502</v>
      </c>
      <c r="BH22" s="2">
        <v>6709146.1656608097</v>
      </c>
      <c r="BI22" s="2">
        <v>5626227.5363421999</v>
      </c>
      <c r="BJ22" s="2">
        <v>6888273.8868962396</v>
      </c>
      <c r="BK22" s="2">
        <v>6382926.1076661302</v>
      </c>
      <c r="BL22" s="2">
        <v>7359203.0108912401</v>
      </c>
      <c r="BM22" s="2">
        <v>6808596.5291629201</v>
      </c>
      <c r="BN22" s="2">
        <v>6503250.1587614501</v>
      </c>
      <c r="BO22" s="2">
        <v>6660706.05298624</v>
      </c>
      <c r="BP22" s="2">
        <v>8940271.0026015695</v>
      </c>
      <c r="BQ22" s="2">
        <v>7968963.1524532204</v>
      </c>
      <c r="BR22" s="2">
        <v>8506856.6554225404</v>
      </c>
      <c r="BS22" s="2">
        <v>7846516.4592715604</v>
      </c>
      <c r="BT22" s="2">
        <v>7489723.2219164604</v>
      </c>
      <c r="BU22" s="2">
        <v>9607390.68787295</v>
      </c>
      <c r="BV22" s="2">
        <v>7963356.7166254502</v>
      </c>
      <c r="BW22" s="2">
        <v>7905678.2356458604</v>
      </c>
      <c r="BX22" s="2">
        <v>7074228.0975734098</v>
      </c>
      <c r="BY22" s="2">
        <v>6730074.7043848503</v>
      </c>
      <c r="BZ22" s="2">
        <v>9292340.7684271</v>
      </c>
      <c r="CA22">
        <f t="shared" si="8"/>
        <v>-0.13851836656943436</v>
      </c>
      <c r="CB22">
        <f t="shared" si="9"/>
        <v>-4.5378870001141373E-2</v>
      </c>
      <c r="CC22">
        <f t="shared" si="10"/>
        <v>0.18165571332074359</v>
      </c>
      <c r="CD22">
        <f t="shared" si="11"/>
        <v>0.17015292505861823</v>
      </c>
      <c r="CE22" s="3">
        <f t="shared" si="12"/>
        <v>0.20937896420001448</v>
      </c>
      <c r="CF22" s="3">
        <f t="shared" si="13"/>
        <v>0.44952669802792178</v>
      </c>
      <c r="CG22" s="3">
        <f t="shared" si="14"/>
        <v>1.3957049896256136E-2</v>
      </c>
      <c r="CH22" s="3">
        <f t="shared" si="15"/>
        <v>0.10518268530423919</v>
      </c>
      <c r="CI22" s="2">
        <v>3099312.60250179</v>
      </c>
      <c r="CJ22" s="2">
        <v>3081383.81275649</v>
      </c>
      <c r="CK22" s="2">
        <v>3655360.3423460298</v>
      </c>
      <c r="CL22" s="2">
        <v>3763127.5634883898</v>
      </c>
      <c r="CM22" s="2">
        <v>7260830.6023479402</v>
      </c>
      <c r="CN22" s="2">
        <v>7085983.4979310604</v>
      </c>
      <c r="CO22" s="2">
        <v>7016395.0116300797</v>
      </c>
      <c r="CP22" s="2">
        <v>6848704.6880300604</v>
      </c>
      <c r="CQ22" s="2">
        <v>6976343.3749842197</v>
      </c>
      <c r="CR22" s="2">
        <v>6999641.5665250001</v>
      </c>
      <c r="CS22" s="2">
        <v>7288003.1469240999</v>
      </c>
      <c r="CT22" s="2">
        <v>7095103.0715146502</v>
      </c>
      <c r="CU22" s="2">
        <v>399.25041182236299</v>
      </c>
      <c r="CV22" s="2">
        <v>379.350219231457</v>
      </c>
      <c r="CW22" s="2">
        <v>376.040788730879</v>
      </c>
      <c r="CX22" s="2">
        <v>423.22895722439802</v>
      </c>
      <c r="CY22" s="2">
        <v>430.59153955098901</v>
      </c>
      <c r="CZ22" s="1">
        <v>461.992041835674</v>
      </c>
    </row>
    <row r="23" spans="1:104" x14ac:dyDescent="0.2">
      <c r="A23">
        <v>7263</v>
      </c>
      <c r="B23" s="2">
        <v>66</v>
      </c>
      <c r="C23" s="2" t="s">
        <v>8</v>
      </c>
      <c r="D23" s="2" t="s">
        <v>12</v>
      </c>
      <c r="E23" s="2" t="s">
        <v>11</v>
      </c>
      <c r="F23" s="2" t="s">
        <v>10</v>
      </c>
      <c r="G23" s="2" t="s">
        <v>10</v>
      </c>
      <c r="H23" s="2">
        <v>2</v>
      </c>
      <c r="I23" s="2" t="s">
        <v>9</v>
      </c>
      <c r="J23" s="2">
        <v>789.53126999999995</v>
      </c>
      <c r="K23" s="2">
        <v>789.53129999999999</v>
      </c>
      <c r="L23" s="2">
        <v>788.52289659999997</v>
      </c>
      <c r="M23" s="2">
        <v>4.1929999999999996</v>
      </c>
      <c r="N23" s="2">
        <v>4.1900000000000004</v>
      </c>
      <c r="O23" s="2">
        <v>0.83333333333333348</v>
      </c>
      <c r="P23" s="5" t="s">
        <v>3</v>
      </c>
      <c r="Q23" s="2">
        <v>5.0279999999999996</v>
      </c>
      <c r="R23" s="2">
        <v>1</v>
      </c>
      <c r="S23" s="2" t="s">
        <v>2</v>
      </c>
      <c r="T23" s="2" t="s">
        <v>1</v>
      </c>
      <c r="U23">
        <f t="shared" si="0"/>
        <v>0.20375665100050119</v>
      </c>
      <c r="V23">
        <f t="shared" si="1"/>
        <v>0.19322735534081656</v>
      </c>
      <c r="W23">
        <f t="shared" si="2"/>
        <v>0.74764199119921015</v>
      </c>
      <c r="X23">
        <f t="shared" si="3"/>
        <v>0.74927907259247106</v>
      </c>
      <c r="Y23">
        <f t="shared" si="4"/>
        <v>6.0900887003196388E-2</v>
      </c>
      <c r="Z23">
        <f t="shared" si="5"/>
        <v>0.21196293364776286</v>
      </c>
      <c r="AA23">
        <f t="shared" si="6"/>
        <v>1.7374672293468195E-2</v>
      </c>
      <c r="AB23">
        <f t="shared" si="7"/>
        <v>1.8150244669656935E-3</v>
      </c>
      <c r="AC23" s="2">
        <v>28659.162653689302</v>
      </c>
      <c r="AD23" s="2">
        <v>40383.994275687299</v>
      </c>
      <c r="AE23" s="2">
        <v>34893.410929410602</v>
      </c>
      <c r="AF23" s="2">
        <v>35824.8995775945</v>
      </c>
      <c r="AG23" s="2">
        <v>30121.082183724</v>
      </c>
      <c r="AH23" s="2">
        <v>44921.828410780399</v>
      </c>
      <c r="AI23" s="2">
        <v>40186.509750524303</v>
      </c>
      <c r="AJ23" s="2">
        <v>40338.565984749701</v>
      </c>
      <c r="AK23" s="2">
        <v>38627.7835989921</v>
      </c>
      <c r="AL23" s="2">
        <v>34797.399410574202</v>
      </c>
      <c r="AM23" s="2">
        <v>57304.991309452998</v>
      </c>
      <c r="AN23" s="2">
        <v>29373.4655271419</v>
      </c>
      <c r="AO23" s="2">
        <v>35290.973601678299</v>
      </c>
      <c r="AP23" s="2">
        <v>42823.027309393598</v>
      </c>
      <c r="AQ23" s="2">
        <v>39894.282159795497</v>
      </c>
      <c r="AR23" s="2">
        <v>66545.2102553812</v>
      </c>
      <c r="AS23" s="2">
        <v>58587.651614018003</v>
      </c>
      <c r="AT23" s="2">
        <v>37557.481594546902</v>
      </c>
      <c r="AU23" s="2">
        <v>61063.861872715897</v>
      </c>
      <c r="AV23" s="2">
        <v>39670.853152960401</v>
      </c>
      <c r="AW23" s="2">
        <v>67386.253140924993</v>
      </c>
      <c r="AX23" s="2">
        <v>40241.755438608103</v>
      </c>
      <c r="AY23" s="2">
        <v>61474.503654871602</v>
      </c>
      <c r="AZ23" s="2">
        <v>56495.960830731303</v>
      </c>
      <c r="BA23" s="2">
        <v>58654.171003176401</v>
      </c>
      <c r="BB23" s="2">
        <v>67636.997449931107</v>
      </c>
      <c r="BC23" s="2">
        <v>66863.021981949394</v>
      </c>
      <c r="BD23" s="2">
        <v>64789.628587109903</v>
      </c>
      <c r="BE23" s="2">
        <v>56470.798650962803</v>
      </c>
      <c r="BF23" s="2">
        <v>61507.000969682398</v>
      </c>
      <c r="BG23" s="2">
        <v>51499.679845798397</v>
      </c>
      <c r="BH23" s="2">
        <v>59785.275691216499</v>
      </c>
      <c r="BI23" s="2">
        <v>44965.653804253801</v>
      </c>
      <c r="BJ23" s="2">
        <v>57019.408809400302</v>
      </c>
      <c r="BK23" s="2">
        <v>45877.086250704502</v>
      </c>
      <c r="BL23" s="2">
        <v>55857.518817277502</v>
      </c>
      <c r="BM23" s="2">
        <v>55657.808568283297</v>
      </c>
      <c r="BN23" s="2">
        <v>48579.349603397903</v>
      </c>
      <c r="BO23" s="2">
        <v>46819.9153841101</v>
      </c>
      <c r="BP23" s="2">
        <v>68833.249322393094</v>
      </c>
      <c r="BQ23" s="2">
        <v>92394.099618788299</v>
      </c>
      <c r="BR23" s="2">
        <v>74344.344874980205</v>
      </c>
      <c r="BS23" s="2">
        <v>72688.341452867302</v>
      </c>
      <c r="BT23" s="2">
        <v>67317.273449342698</v>
      </c>
      <c r="BU23" s="2">
        <v>94021.969726448297</v>
      </c>
      <c r="BV23" s="2">
        <v>74486.694847876104</v>
      </c>
      <c r="BW23" s="2">
        <v>60984.887007889403</v>
      </c>
      <c r="BX23" s="2">
        <v>69444.667852818005</v>
      </c>
      <c r="BY23" s="2">
        <v>60363.068746029203</v>
      </c>
      <c r="BZ23" s="2">
        <v>83359.057603040201</v>
      </c>
      <c r="CA23">
        <f t="shared" si="8"/>
        <v>-0.33119942380923301</v>
      </c>
      <c r="CB23">
        <f t="shared" si="9"/>
        <v>-0.21917878131885155</v>
      </c>
      <c r="CC23">
        <f t="shared" si="10"/>
        <v>0.19846011803846159</v>
      </c>
      <c r="CD23">
        <f t="shared" si="11"/>
        <v>0.1001010370397218</v>
      </c>
      <c r="CE23" s="3">
        <f t="shared" si="12"/>
        <v>1.1756101287314715E-2</v>
      </c>
      <c r="CF23" s="3">
        <f t="shared" si="13"/>
        <v>9.4683742749268704E-2</v>
      </c>
      <c r="CG23" s="3">
        <f t="shared" si="14"/>
        <v>2.1013612236316322E-2</v>
      </c>
      <c r="CH23" s="3">
        <f t="shared" si="15"/>
        <v>0.22533862966248866</v>
      </c>
      <c r="CI23" s="2">
        <v>20851.5358507122</v>
      </c>
      <c r="CJ23" s="2">
        <v>20841.770743294001</v>
      </c>
      <c r="CK23" s="2">
        <v>33220.6606507295</v>
      </c>
      <c r="CL23" s="2">
        <v>35343.677276429102</v>
      </c>
      <c r="CM23" s="2">
        <v>56316.413981629099</v>
      </c>
      <c r="CN23" s="2">
        <v>57719.7763868693</v>
      </c>
      <c r="CO23" s="2">
        <v>51000.009062276396</v>
      </c>
      <c r="CP23" s="2">
        <v>57625.869823612797</v>
      </c>
      <c r="CQ23" s="2">
        <v>57916.246675598901</v>
      </c>
      <c r="CR23" s="2">
        <v>59666.238666397097</v>
      </c>
      <c r="CS23" s="2">
        <v>49887.052690008197</v>
      </c>
      <c r="CT23" s="2">
        <v>58122.109853503003</v>
      </c>
      <c r="CU23" s="2">
        <v>168.21858332527799</v>
      </c>
      <c r="CV23" s="2">
        <v>169.19055267163401</v>
      </c>
      <c r="CW23" s="2">
        <v>161.11589644701101</v>
      </c>
      <c r="CX23" s="2">
        <v>182.718169640855</v>
      </c>
      <c r="CY23" s="2">
        <v>192.324395120849</v>
      </c>
      <c r="CZ23" s="1">
        <v>185.11765544814301</v>
      </c>
    </row>
    <row r="24" spans="1:104" x14ac:dyDescent="0.2">
      <c r="A24">
        <v>7262</v>
      </c>
      <c r="B24" s="2">
        <v>65</v>
      </c>
      <c r="C24" s="2" t="s">
        <v>8</v>
      </c>
      <c r="D24" s="2" t="s">
        <v>7</v>
      </c>
      <c r="E24" s="2" t="s">
        <v>6</v>
      </c>
      <c r="F24" s="2" t="s">
        <v>5</v>
      </c>
      <c r="G24" s="2" t="s">
        <v>5</v>
      </c>
      <c r="H24" s="2">
        <v>2</v>
      </c>
      <c r="I24" s="2" t="s">
        <v>4</v>
      </c>
      <c r="J24" s="2">
        <v>787.51621999999998</v>
      </c>
      <c r="K24" s="2">
        <v>787.51620000000003</v>
      </c>
      <c r="L24" s="2">
        <v>786.50784659999999</v>
      </c>
      <c r="M24" s="2">
        <v>3.9809999999999999</v>
      </c>
      <c r="N24" s="2">
        <v>3.98</v>
      </c>
      <c r="O24" s="2">
        <v>0.79156722354813058</v>
      </c>
      <c r="P24" s="5" t="s">
        <v>3</v>
      </c>
      <c r="Q24" s="2">
        <v>5.0279999999999996</v>
      </c>
      <c r="R24" s="2">
        <v>1</v>
      </c>
      <c r="S24" s="2" t="s">
        <v>2</v>
      </c>
      <c r="T24" s="2" t="s">
        <v>1</v>
      </c>
      <c r="U24">
        <f t="shared" si="0"/>
        <v>0.27128486080313169</v>
      </c>
      <c r="V24">
        <f t="shared" si="1"/>
        <v>0.2509297454425406</v>
      </c>
      <c r="W24">
        <f t="shared" si="2"/>
        <v>0.75221194262225066</v>
      </c>
      <c r="X24">
        <f t="shared" si="3"/>
        <v>0.64193381060315979</v>
      </c>
      <c r="Y24">
        <f t="shared" si="4"/>
        <v>0.10512050181727964</v>
      </c>
      <c r="Z24">
        <f t="shared" si="5"/>
        <v>0.17063056235526575</v>
      </c>
      <c r="AA24">
        <f t="shared" si="6"/>
        <v>2.2064798520605063E-2</v>
      </c>
      <c r="AB24">
        <f t="shared" si="7"/>
        <v>2.4367888056847113E-3</v>
      </c>
      <c r="AC24" s="2">
        <v>622238.58954960899</v>
      </c>
      <c r="AD24" s="2">
        <v>796029.49684249598</v>
      </c>
      <c r="AE24" s="2">
        <v>693505.54311632505</v>
      </c>
      <c r="AF24" s="2">
        <v>624508.90237554302</v>
      </c>
      <c r="AG24" s="2">
        <v>547618.55196136399</v>
      </c>
      <c r="AH24" s="2">
        <v>826381.40311963798</v>
      </c>
      <c r="AI24" s="2">
        <v>725018.87402446498</v>
      </c>
      <c r="AJ24" s="2">
        <v>805914.68623583601</v>
      </c>
      <c r="AK24" s="2">
        <v>753708.67529816204</v>
      </c>
      <c r="AL24" s="2">
        <v>649777.74898293801</v>
      </c>
      <c r="AM24" s="2">
        <v>940281.65998768504</v>
      </c>
      <c r="AN24" s="2">
        <v>598962.56763102696</v>
      </c>
      <c r="AO24" s="2">
        <v>719529.93974276795</v>
      </c>
      <c r="AP24" s="2">
        <v>743149.19862186396</v>
      </c>
      <c r="AQ24" s="2">
        <v>807490.04652990098</v>
      </c>
      <c r="AR24" s="2">
        <v>1088359.2030471801</v>
      </c>
      <c r="AS24" s="2">
        <v>1051906.14325696</v>
      </c>
      <c r="AT24" s="2">
        <v>637395.614681551</v>
      </c>
      <c r="AU24" s="2">
        <v>1136981.77347266</v>
      </c>
      <c r="AV24" s="2">
        <v>827615.30538733897</v>
      </c>
      <c r="AW24" s="2">
        <v>1064974.78692526</v>
      </c>
      <c r="AX24" s="2">
        <v>752203.470392321</v>
      </c>
      <c r="AY24" s="2">
        <v>974495.78690173302</v>
      </c>
      <c r="AZ24" s="2">
        <v>1003962.91565751</v>
      </c>
      <c r="BA24" s="2">
        <v>954345.97771819204</v>
      </c>
      <c r="BB24" s="2">
        <v>893999.97513496701</v>
      </c>
      <c r="BC24" s="2">
        <v>855464.18409268104</v>
      </c>
      <c r="BD24" s="2">
        <v>901443.32966529101</v>
      </c>
      <c r="BE24" s="2">
        <v>972132.00083107897</v>
      </c>
      <c r="BF24" s="2">
        <v>757880.45683833805</v>
      </c>
      <c r="BG24" s="2">
        <v>762405.10117114603</v>
      </c>
      <c r="BH24" s="2">
        <v>815344.94322332996</v>
      </c>
      <c r="BI24" s="2">
        <v>662695.66364410997</v>
      </c>
      <c r="BJ24" s="2">
        <v>792415.64053356997</v>
      </c>
      <c r="BK24" s="2">
        <v>735339.84981923504</v>
      </c>
      <c r="BL24" s="2">
        <v>834610.10794080701</v>
      </c>
      <c r="BM24" s="2">
        <v>864053.87164607202</v>
      </c>
      <c r="BN24" s="2">
        <v>731632.66605611204</v>
      </c>
      <c r="BO24" s="2">
        <v>796133.78270847804</v>
      </c>
      <c r="BP24" s="2">
        <v>969179.35779915994</v>
      </c>
      <c r="BQ24" s="2">
        <v>989000.60541268997</v>
      </c>
      <c r="BR24" s="2">
        <v>1022310.65707847</v>
      </c>
      <c r="BS24" s="2">
        <v>934990.98492684995</v>
      </c>
      <c r="BT24" s="2">
        <v>850569.94586070301</v>
      </c>
      <c r="BU24" s="2">
        <v>1169618.30717421</v>
      </c>
      <c r="BV24" s="2">
        <v>881207.97453149396</v>
      </c>
      <c r="BW24" s="2">
        <v>932957.13032571704</v>
      </c>
      <c r="BX24" s="2">
        <v>773453.17126622295</v>
      </c>
      <c r="BY24" s="2">
        <v>734711.60488805803</v>
      </c>
      <c r="BZ24" s="2">
        <v>1057064.3398665299</v>
      </c>
      <c r="CA24">
        <f t="shared" si="8"/>
        <v>-0.22971701908391398</v>
      </c>
      <c r="CB24">
        <f t="shared" si="9"/>
        <v>-9.9172398134213829E-2</v>
      </c>
      <c r="CC24">
        <f t="shared" si="10"/>
        <v>0.14569661284197119</v>
      </c>
      <c r="CD24">
        <f t="shared" si="11"/>
        <v>-2.0792240450561637E-2</v>
      </c>
      <c r="CE24" s="3">
        <f t="shared" si="12"/>
        <v>2.3553636703040757E-2</v>
      </c>
      <c r="CF24" s="3">
        <f t="shared" si="13"/>
        <v>0.50183951751206868</v>
      </c>
      <c r="CG24" s="3">
        <f t="shared" si="14"/>
        <v>0.1017575005125345</v>
      </c>
      <c r="CH24" s="3">
        <f t="shared" si="15"/>
        <v>0.99650364543280601</v>
      </c>
      <c r="CI24" s="2">
        <v>431286.07045169303</v>
      </c>
      <c r="CJ24" s="2">
        <v>432979.79596201598</v>
      </c>
      <c r="CK24" s="2">
        <v>496373.10834493901</v>
      </c>
      <c r="CL24" s="2">
        <v>528438.99175083498</v>
      </c>
      <c r="CM24" s="2">
        <v>856382.08466546796</v>
      </c>
      <c r="CN24" s="2">
        <v>869633.42484591901</v>
      </c>
      <c r="CO24" s="2">
        <v>855363.51681218203</v>
      </c>
      <c r="CP24" s="2">
        <v>838409.035379473</v>
      </c>
      <c r="CQ24" s="2">
        <v>848154.09404436103</v>
      </c>
      <c r="CR24" s="2">
        <v>826014.88191659295</v>
      </c>
      <c r="CS24" s="2">
        <v>839725.13626647601</v>
      </c>
      <c r="CT24" s="2">
        <v>889995.46814213495</v>
      </c>
      <c r="CU24" s="2">
        <v>182.63960081137299</v>
      </c>
      <c r="CV24" s="2">
        <v>177.238718408718</v>
      </c>
      <c r="CW24" s="2">
        <v>181.70977879824301</v>
      </c>
      <c r="CX24" s="2">
        <v>206.06479283220099</v>
      </c>
      <c r="CY24" s="2">
        <v>201.35686859246499</v>
      </c>
      <c r="CZ24" s="1">
        <v>200.614607278775</v>
      </c>
    </row>
    <row r="25" spans="1:104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E25" s="3"/>
      <c r="CF25" s="3"/>
      <c r="CG25" s="3"/>
      <c r="CH25" s="3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1"/>
    </row>
    <row r="26" spans="1:104" x14ac:dyDescent="0.2">
      <c r="A26">
        <v>7283</v>
      </c>
      <c r="B26" s="2">
        <v>100</v>
      </c>
      <c r="C26" s="2" t="s">
        <v>8</v>
      </c>
      <c r="D26" s="2" t="s">
        <v>86</v>
      </c>
      <c r="E26" s="2" t="s">
        <v>85</v>
      </c>
      <c r="F26" s="2" t="s">
        <v>84</v>
      </c>
      <c r="G26" s="2" t="s">
        <v>84</v>
      </c>
      <c r="H26" s="2">
        <v>2</v>
      </c>
      <c r="I26" s="2" t="s">
        <v>83</v>
      </c>
      <c r="J26" s="2">
        <v>717.53102000000001</v>
      </c>
      <c r="K26" s="2">
        <v>717.53099999999995</v>
      </c>
      <c r="L26" s="2">
        <v>716.52264660000003</v>
      </c>
      <c r="M26" s="2">
        <v>5.5010000000000003</v>
      </c>
      <c r="N26" s="2">
        <v>5.5</v>
      </c>
      <c r="O26" s="2">
        <v>1.0938743038981704</v>
      </c>
      <c r="P26" s="5" t="s">
        <v>3</v>
      </c>
      <c r="Q26" s="2">
        <v>5.0279999999999996</v>
      </c>
      <c r="R26" s="2">
        <v>1</v>
      </c>
      <c r="S26" s="2" t="s">
        <v>2</v>
      </c>
      <c r="T26" s="2" t="s">
        <v>1</v>
      </c>
      <c r="AC26" s="2">
        <f>(AC3/AC$2)*0.059213</f>
        <v>9.3644344489355116E-2</v>
      </c>
      <c r="AD26" s="2">
        <f t="shared" ref="AD26:BZ31" si="16">(AD3/AD$2)*0.059213</f>
        <v>0.11193288073144736</v>
      </c>
      <c r="AE26" s="2">
        <f t="shared" si="16"/>
        <v>9.9177057568106811E-2</v>
      </c>
      <c r="AF26" s="2">
        <f t="shared" si="16"/>
        <v>0.11736397661206766</v>
      </c>
      <c r="AG26" s="2">
        <f t="shared" si="16"/>
        <v>8.5725179512008032E-2</v>
      </c>
      <c r="AH26" s="2">
        <f t="shared" si="16"/>
        <v>0.10343321228982887</v>
      </c>
      <c r="AI26" s="2">
        <f t="shared" si="16"/>
        <v>0.13934133801191662</v>
      </c>
      <c r="AJ26" s="2">
        <f t="shared" si="16"/>
        <v>9.23878455053605E-2</v>
      </c>
      <c r="AK26" s="2">
        <f t="shared" si="16"/>
        <v>0.13077473521113306</v>
      </c>
      <c r="AL26" s="2">
        <f t="shared" si="16"/>
        <v>0.10946206447125802</v>
      </c>
      <c r="AM26" s="2">
        <f t="shared" si="16"/>
        <v>0.3324255829883504</v>
      </c>
      <c r="AN26" s="2">
        <f t="shared" si="16"/>
        <v>0.10029260697849318</v>
      </c>
      <c r="AO26" s="2">
        <f t="shared" si="16"/>
        <v>0.1031402071628148</v>
      </c>
      <c r="AP26" s="2">
        <f t="shared" si="16"/>
        <v>0.11331888335739324</v>
      </c>
      <c r="AQ26" s="2">
        <f t="shared" si="16"/>
        <v>0.18436268604476358</v>
      </c>
      <c r="AR26" s="2">
        <f t="shared" si="16"/>
        <v>0.13826072431947389</v>
      </c>
      <c r="AS26" s="2">
        <f t="shared" si="16"/>
        <v>0.19787790247886602</v>
      </c>
      <c r="AT26" s="2">
        <f t="shared" si="16"/>
        <v>9.2616109746418596E-2</v>
      </c>
      <c r="AU26" s="2">
        <f t="shared" si="16"/>
        <v>0.14371269887788471</v>
      </c>
      <c r="AV26" s="2">
        <f t="shared" si="16"/>
        <v>9.1369687759628476E-2</v>
      </c>
      <c r="AW26" s="2">
        <f t="shared" si="16"/>
        <v>0.11312501078721204</v>
      </c>
      <c r="AX26" s="2">
        <f t="shared" si="16"/>
        <v>9.7848342230352631E-2</v>
      </c>
      <c r="AY26" s="2">
        <f t="shared" si="16"/>
        <v>0.11703996155629912</v>
      </c>
      <c r="AZ26" s="2">
        <f t="shared" si="16"/>
        <v>9.6848144104786607E-2</v>
      </c>
      <c r="BA26" s="2">
        <f t="shared" si="16"/>
        <v>0.1061221026863161</v>
      </c>
      <c r="BB26" s="2">
        <f t="shared" si="16"/>
        <v>0.10462582882842714</v>
      </c>
      <c r="BC26" s="2">
        <f t="shared" si="16"/>
        <v>0.10848133821267056</v>
      </c>
      <c r="BD26" s="2">
        <f t="shared" si="16"/>
        <v>0.11525812184007883</v>
      </c>
      <c r="BE26" s="2">
        <f t="shared" si="16"/>
        <v>0.11166664902316013</v>
      </c>
      <c r="BF26" s="2">
        <f t="shared" si="16"/>
        <v>7.4022675507551317E-2</v>
      </c>
      <c r="BG26" s="2">
        <f t="shared" si="16"/>
        <v>9.5599514904548433E-2</v>
      </c>
      <c r="BH26" s="2">
        <f t="shared" si="16"/>
        <v>9.752872153132798E-2</v>
      </c>
      <c r="BI26" s="2">
        <f t="shared" si="16"/>
        <v>9.6685604708202519E-2</v>
      </c>
      <c r="BJ26" s="2">
        <f t="shared" si="16"/>
        <v>9.5129717718289625E-2</v>
      </c>
      <c r="BK26" s="2">
        <f t="shared" si="16"/>
        <v>9.4777706591720148E-2</v>
      </c>
      <c r="BL26" s="2">
        <f t="shared" si="16"/>
        <v>0.10769784559730682</v>
      </c>
      <c r="BM26" s="2">
        <f t="shared" si="16"/>
        <v>0.11593619172481669</v>
      </c>
      <c r="BN26" s="2">
        <f t="shared" si="16"/>
        <v>7.6554111278023723E-2</v>
      </c>
      <c r="BO26" s="2">
        <f t="shared" si="16"/>
        <v>8.2690445682082309E-2</v>
      </c>
      <c r="BP26" s="2">
        <f t="shared" si="16"/>
        <v>0.10242664278024484</v>
      </c>
      <c r="BQ26" s="2">
        <f t="shared" si="16"/>
        <v>0.13205358976340512</v>
      </c>
      <c r="BR26" s="2">
        <f t="shared" si="16"/>
        <v>0.11548154408247228</v>
      </c>
      <c r="BS26" s="2">
        <f t="shared" si="16"/>
        <v>0.12334202429989301</v>
      </c>
      <c r="BT26" s="2">
        <f t="shared" si="16"/>
        <v>0.10124273743464823</v>
      </c>
      <c r="BU26" s="2">
        <f t="shared" si="16"/>
        <v>0.14623938278395465</v>
      </c>
      <c r="BV26" s="2">
        <f t="shared" si="16"/>
        <v>0.10197792222828742</v>
      </c>
      <c r="BW26" s="2">
        <f t="shared" si="16"/>
        <v>0.10732523392822221</v>
      </c>
      <c r="BX26" s="2">
        <f t="shared" si="16"/>
        <v>9.3099709500626709E-2</v>
      </c>
      <c r="BY26" s="2">
        <f t="shared" si="16"/>
        <v>8.6239406491757598E-2</v>
      </c>
      <c r="BZ26" s="2">
        <f t="shared" si="16"/>
        <v>0.11247915135986694</v>
      </c>
      <c r="CE26" s="3"/>
      <c r="CF26" s="3"/>
      <c r="CG26" s="3"/>
      <c r="CH26" s="3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1"/>
    </row>
    <row r="27" spans="1:104" x14ac:dyDescent="0.2">
      <c r="A27">
        <v>7282</v>
      </c>
      <c r="B27" s="2">
        <v>98</v>
      </c>
      <c r="C27" s="2" t="s">
        <v>8</v>
      </c>
      <c r="D27" s="2" t="s">
        <v>82</v>
      </c>
      <c r="E27" s="2" t="s">
        <v>81</v>
      </c>
      <c r="F27" s="2" t="s">
        <v>80</v>
      </c>
      <c r="G27" s="2" t="s">
        <v>80</v>
      </c>
      <c r="H27" s="2">
        <v>2</v>
      </c>
      <c r="I27" s="2" t="s">
        <v>79</v>
      </c>
      <c r="J27" s="2">
        <v>715.51552000000004</v>
      </c>
      <c r="K27" s="2">
        <v>715.51549999999997</v>
      </c>
      <c r="L27" s="2">
        <v>714.50714660000006</v>
      </c>
      <c r="M27" s="2">
        <v>4.83</v>
      </c>
      <c r="N27" s="2">
        <v>4.83</v>
      </c>
      <c r="O27" s="2">
        <v>0.960620525059666</v>
      </c>
      <c r="P27" s="5" t="s">
        <v>3</v>
      </c>
      <c r="Q27" s="2">
        <v>5.0279999999999996</v>
      </c>
      <c r="R27" s="2">
        <v>1</v>
      </c>
      <c r="S27" s="2" t="s">
        <v>2</v>
      </c>
      <c r="T27" s="2" t="s">
        <v>1</v>
      </c>
      <c r="AC27" s="2">
        <f t="shared" ref="AC27:AR47" si="17">(AC4/AC$2)*0.059213</f>
        <v>0.24520617893257626</v>
      </c>
      <c r="AD27" s="2">
        <f t="shared" si="17"/>
        <v>0.36891040533301583</v>
      </c>
      <c r="AE27" s="2">
        <f t="shared" si="17"/>
        <v>0.32207482017089456</v>
      </c>
      <c r="AF27" s="2">
        <f t="shared" si="17"/>
        <v>0.28705377506856106</v>
      </c>
      <c r="AG27" s="2">
        <f t="shared" si="17"/>
        <v>0.24521393882826545</v>
      </c>
      <c r="AH27" s="2">
        <f t="shared" si="17"/>
        <v>0.33805327893128523</v>
      </c>
      <c r="AI27" s="2">
        <f t="shared" si="17"/>
        <v>0.27218358945434712</v>
      </c>
      <c r="AJ27" s="2">
        <f t="shared" si="17"/>
        <v>0.31426512080644309</v>
      </c>
      <c r="AK27" s="2">
        <f t="shared" si="17"/>
        <v>0.2831544822574143</v>
      </c>
      <c r="AL27" s="2">
        <f t="shared" si="17"/>
        <v>0.27460700943052779</v>
      </c>
      <c r="AM27" s="2">
        <f t="shared" si="17"/>
        <v>0.42237502770144969</v>
      </c>
      <c r="AN27" s="2">
        <f t="shared" si="17"/>
        <v>0.20768856810469791</v>
      </c>
      <c r="AO27" s="2">
        <f t="shared" si="17"/>
        <v>0.25212366545271009</v>
      </c>
      <c r="AP27" s="2">
        <f t="shared" si="17"/>
        <v>0.34674645938717846</v>
      </c>
      <c r="AQ27" s="2">
        <f t="shared" si="17"/>
        <v>0.31972726838361254</v>
      </c>
      <c r="AR27" s="2">
        <f t="shared" si="17"/>
        <v>0.3801178609808053</v>
      </c>
      <c r="AS27" s="2">
        <f t="shared" si="16"/>
        <v>0.40291980012434891</v>
      </c>
      <c r="AT27" s="2">
        <f t="shared" si="16"/>
        <v>0.24598866722866508</v>
      </c>
      <c r="AU27" s="2">
        <f t="shared" si="16"/>
        <v>0.40982394072533307</v>
      </c>
      <c r="AV27" s="2">
        <f t="shared" si="16"/>
        <v>0.30185435134851185</v>
      </c>
      <c r="AW27" s="2">
        <f t="shared" si="16"/>
        <v>0.54210582508436589</v>
      </c>
      <c r="AX27" s="2">
        <f t="shared" si="16"/>
        <v>0.29383325226732154</v>
      </c>
      <c r="AY27" s="2">
        <f t="shared" si="16"/>
        <v>0.47983080690677671</v>
      </c>
      <c r="AZ27" s="2">
        <f t="shared" si="16"/>
        <v>0.38115165930124983</v>
      </c>
      <c r="BA27" s="2">
        <f t="shared" si="16"/>
        <v>0.38830514702159952</v>
      </c>
      <c r="BB27" s="2">
        <f t="shared" si="16"/>
        <v>0.3445647520062079</v>
      </c>
      <c r="BC27" s="2">
        <f t="shared" si="16"/>
        <v>0.30824156845407574</v>
      </c>
      <c r="BD27" s="2">
        <f t="shared" si="16"/>
        <v>0.31447825599010837</v>
      </c>
      <c r="BE27" s="2">
        <f t="shared" si="16"/>
        <v>0.33048089549584314</v>
      </c>
      <c r="BF27" s="2">
        <f t="shared" si="16"/>
        <v>0.2397805280768158</v>
      </c>
      <c r="BG27" s="2">
        <f t="shared" si="16"/>
        <v>0.24434176131505345</v>
      </c>
      <c r="BH27" s="2">
        <f t="shared" si="16"/>
        <v>0.30194236189439511</v>
      </c>
      <c r="BI27" s="2">
        <f t="shared" si="16"/>
        <v>0.21159433626978685</v>
      </c>
      <c r="BJ27" s="2">
        <f t="shared" si="16"/>
        <v>0.27517453155125421</v>
      </c>
      <c r="BK27" s="2">
        <f t="shared" si="16"/>
        <v>0.2236899236601505</v>
      </c>
      <c r="BL27" s="2">
        <f t="shared" si="16"/>
        <v>0.25706251784205064</v>
      </c>
      <c r="BM27" s="2">
        <f t="shared" si="16"/>
        <v>0.23161841855639395</v>
      </c>
      <c r="BN27" s="2">
        <f t="shared" si="16"/>
        <v>0.2199169930318822</v>
      </c>
      <c r="BO27" s="2">
        <f t="shared" si="16"/>
        <v>0.24787980649732652</v>
      </c>
      <c r="BP27" s="2">
        <f t="shared" si="16"/>
        <v>0.27603293970075427</v>
      </c>
      <c r="BQ27" s="2">
        <f t="shared" si="16"/>
        <v>0.42941882357585098</v>
      </c>
      <c r="BR27" s="2">
        <f t="shared" si="16"/>
        <v>0.3301487800557239</v>
      </c>
      <c r="BS27" s="2">
        <f t="shared" si="16"/>
        <v>0.33465599697124482</v>
      </c>
      <c r="BT27" s="2">
        <f t="shared" si="16"/>
        <v>0.32761809594544544</v>
      </c>
      <c r="BU27" s="2">
        <f t="shared" si="16"/>
        <v>0.4395977378946474</v>
      </c>
      <c r="BV27" s="2">
        <f t="shared" si="16"/>
        <v>0.33845652062446319</v>
      </c>
      <c r="BW27" s="2">
        <f t="shared" si="16"/>
        <v>0.31495671556923804</v>
      </c>
      <c r="BX27" s="2">
        <f t="shared" si="16"/>
        <v>0.30601616848431346</v>
      </c>
      <c r="BY27" s="2">
        <f t="shared" si="16"/>
        <v>0.25808222809228137</v>
      </c>
      <c r="BZ27" s="2">
        <f t="shared" si="16"/>
        <v>0.36580302726801084</v>
      </c>
      <c r="CE27" s="3"/>
      <c r="CF27" s="3"/>
      <c r="CG27" s="3"/>
      <c r="CH27" s="3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1"/>
    </row>
    <row r="28" spans="1:104" x14ac:dyDescent="0.2">
      <c r="A28">
        <v>7281</v>
      </c>
      <c r="B28" s="2">
        <v>97</v>
      </c>
      <c r="C28" s="2" t="s">
        <v>8</v>
      </c>
      <c r="D28" s="2" t="s">
        <v>78</v>
      </c>
      <c r="E28" s="2" t="s">
        <v>77</v>
      </c>
      <c r="F28" s="2" t="s">
        <v>76</v>
      </c>
      <c r="G28" s="2" t="s">
        <v>76</v>
      </c>
      <c r="H28" s="2">
        <v>2</v>
      </c>
      <c r="I28" s="2" t="s">
        <v>75</v>
      </c>
      <c r="J28" s="2">
        <v>745.56299000000001</v>
      </c>
      <c r="K28" s="2">
        <v>745.56299999999999</v>
      </c>
      <c r="L28" s="2">
        <v>744.55461660000003</v>
      </c>
      <c r="M28" s="2">
        <v>6.4379999999999997</v>
      </c>
      <c r="N28" s="2">
        <v>6.44</v>
      </c>
      <c r="O28" s="2">
        <v>1.2808273667462213</v>
      </c>
      <c r="P28" s="5" t="s">
        <v>3</v>
      </c>
      <c r="Q28" s="2">
        <v>5.0279999999999996</v>
      </c>
      <c r="R28" s="2">
        <v>1</v>
      </c>
      <c r="S28" s="2" t="s">
        <v>2</v>
      </c>
      <c r="T28" s="2" t="s">
        <v>1</v>
      </c>
      <c r="AC28" s="2">
        <f t="shared" si="17"/>
        <v>0.10294180072967758</v>
      </c>
      <c r="AD28" s="2">
        <f t="shared" si="16"/>
        <v>0.1205050672346981</v>
      </c>
      <c r="AE28" s="2">
        <f t="shared" si="16"/>
        <v>0.10178450218807818</v>
      </c>
      <c r="AF28" s="2">
        <f t="shared" si="16"/>
        <v>0.1188253551592012</v>
      </c>
      <c r="AG28" s="2">
        <f t="shared" si="16"/>
        <v>9.5929423849161338E-2</v>
      </c>
      <c r="AH28" s="2">
        <f t="shared" si="16"/>
        <v>0.12112303223201799</v>
      </c>
      <c r="AI28" s="2">
        <f t="shared" si="16"/>
        <v>0.14126298293957615</v>
      </c>
      <c r="AJ28" s="2">
        <f t="shared" si="16"/>
        <v>0.11940261604306759</v>
      </c>
      <c r="AK28" s="2">
        <f t="shared" si="16"/>
        <v>0.16413695327672612</v>
      </c>
      <c r="AL28" s="2">
        <f t="shared" si="16"/>
        <v>0.12574872898230552</v>
      </c>
      <c r="AM28" s="2">
        <f t="shared" si="16"/>
        <v>0.3592382846610449</v>
      </c>
      <c r="AN28" s="2">
        <f t="shared" si="16"/>
        <v>0.11985707908569411</v>
      </c>
      <c r="AO28" s="2">
        <f t="shared" si="16"/>
        <v>0.11530678336546923</v>
      </c>
      <c r="AP28" s="2">
        <f t="shared" si="16"/>
        <v>0.16520017431673947</v>
      </c>
      <c r="AQ28" s="2">
        <f t="shared" si="16"/>
        <v>0.17308392685751173</v>
      </c>
      <c r="AR28" s="2">
        <f t="shared" si="16"/>
        <v>0.17589115685288692</v>
      </c>
      <c r="AS28" s="2">
        <f t="shared" si="16"/>
        <v>0.21376286228110924</v>
      </c>
      <c r="AT28" s="2">
        <f t="shared" si="16"/>
        <v>0.10514482122932353</v>
      </c>
      <c r="AU28" s="2">
        <f t="shared" si="16"/>
        <v>0.17171276612158562</v>
      </c>
      <c r="AV28" s="2">
        <f t="shared" si="16"/>
        <v>0.11245670316102499</v>
      </c>
      <c r="AW28" s="2">
        <f t="shared" si="16"/>
        <v>0.14436579049883491</v>
      </c>
      <c r="AX28" s="2">
        <f t="shared" si="16"/>
        <v>0.11599376078458051</v>
      </c>
      <c r="AY28" s="2">
        <f t="shared" si="16"/>
        <v>0.13377675066684572</v>
      </c>
      <c r="AZ28" s="2">
        <f t="shared" si="16"/>
        <v>0.13023456279120191</v>
      </c>
      <c r="BA28" s="2">
        <f t="shared" si="16"/>
        <v>0.13916116860263325</v>
      </c>
      <c r="BB28" s="2">
        <f t="shared" si="16"/>
        <v>0.1465108257175872</v>
      </c>
      <c r="BC28" s="2">
        <f t="shared" si="16"/>
        <v>0.13752611408579113</v>
      </c>
      <c r="BD28" s="2">
        <f t="shared" si="16"/>
        <v>0.14801651671128954</v>
      </c>
      <c r="BE28" s="2">
        <f t="shared" si="16"/>
        <v>0.15777277948414048</v>
      </c>
      <c r="BF28" s="2">
        <f t="shared" si="16"/>
        <v>9.8996316179363497E-2</v>
      </c>
      <c r="BG28" s="2">
        <f t="shared" si="16"/>
        <v>0.10582911854575205</v>
      </c>
      <c r="BH28" s="2">
        <f t="shared" si="16"/>
        <v>0.13463177824135372</v>
      </c>
      <c r="BI28" s="2">
        <f t="shared" si="16"/>
        <v>0.10061375012754402</v>
      </c>
      <c r="BJ28" s="2">
        <f t="shared" si="16"/>
        <v>0.13126589955383386</v>
      </c>
      <c r="BK28" s="2">
        <f t="shared" si="16"/>
        <v>0.10996950392365185</v>
      </c>
      <c r="BL28" s="2">
        <f t="shared" si="16"/>
        <v>0.1363500485309754</v>
      </c>
      <c r="BM28" s="2">
        <f t="shared" si="16"/>
        <v>0.13919117296024477</v>
      </c>
      <c r="BN28" s="2">
        <f t="shared" si="16"/>
        <v>0.11493521325659545</v>
      </c>
      <c r="BO28" s="2">
        <f t="shared" si="16"/>
        <v>0.10916019814798744</v>
      </c>
      <c r="BP28" s="2">
        <f t="shared" si="16"/>
        <v>0.16434452009774722</v>
      </c>
      <c r="BQ28" s="2">
        <f t="shared" si="16"/>
        <v>0.15534567456251064</v>
      </c>
      <c r="BR28" s="2">
        <f t="shared" si="16"/>
        <v>0.14920532632181424</v>
      </c>
      <c r="BS28" s="2">
        <f t="shared" si="16"/>
        <v>0.14750161807501083</v>
      </c>
      <c r="BT28" s="2">
        <f t="shared" si="16"/>
        <v>0.12054941683352789</v>
      </c>
      <c r="BU28" s="2">
        <f t="shared" si="16"/>
        <v>0.19450060351819132</v>
      </c>
      <c r="BV28" s="2">
        <f t="shared" si="16"/>
        <v>0.13703717619789693</v>
      </c>
      <c r="BW28" s="2">
        <f t="shared" si="16"/>
        <v>0.14825798423879114</v>
      </c>
      <c r="BX28" s="2">
        <f t="shared" si="16"/>
        <v>0.12789138778919174</v>
      </c>
      <c r="BY28" s="2">
        <f t="shared" si="16"/>
        <v>0.12325248689999085</v>
      </c>
      <c r="BZ28" s="2">
        <f t="shared" si="16"/>
        <v>0.16180667077533833</v>
      </c>
      <c r="CE28" s="3"/>
      <c r="CF28" s="3"/>
      <c r="CG28" s="3"/>
      <c r="CH28" s="3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1"/>
    </row>
    <row r="29" spans="1:104" x14ac:dyDescent="0.2">
      <c r="A29">
        <v>7280</v>
      </c>
      <c r="B29" s="2">
        <v>96</v>
      </c>
      <c r="C29" s="2" t="s">
        <v>8</v>
      </c>
      <c r="D29" s="2" t="s">
        <v>74</v>
      </c>
      <c r="E29" s="2" t="s">
        <v>73</v>
      </c>
      <c r="F29" s="2" t="s">
        <v>72</v>
      </c>
      <c r="G29" s="2" t="s">
        <v>72</v>
      </c>
      <c r="H29" s="2">
        <v>2</v>
      </c>
      <c r="I29" s="2" t="s">
        <v>68</v>
      </c>
      <c r="J29" s="2">
        <v>743.54772000000003</v>
      </c>
      <c r="K29" s="2">
        <v>743.54769999999996</v>
      </c>
      <c r="L29" s="2">
        <v>742.53934660000004</v>
      </c>
      <c r="M29" s="2">
        <v>5.7560000000000002</v>
      </c>
      <c r="N29" s="2">
        <v>5.76</v>
      </c>
      <c r="O29" s="2">
        <v>1.1455847255369929</v>
      </c>
      <c r="P29" s="5" t="s">
        <v>3</v>
      </c>
      <c r="Q29" s="2">
        <v>5.0279999999999996</v>
      </c>
      <c r="R29" s="2">
        <v>1</v>
      </c>
      <c r="S29" s="2" t="s">
        <v>2</v>
      </c>
      <c r="T29" s="2" t="s">
        <v>1</v>
      </c>
      <c r="AC29" s="2">
        <f t="shared" si="17"/>
        <v>1.4530955073615477</v>
      </c>
      <c r="AD29" s="2">
        <f t="shared" si="16"/>
        <v>2.0344073211382434</v>
      </c>
      <c r="AE29" s="2">
        <f t="shared" si="16"/>
        <v>1.7423565803748295</v>
      </c>
      <c r="AF29" s="2">
        <f t="shared" si="16"/>
        <v>1.4642813125854051</v>
      </c>
      <c r="AG29" s="2">
        <f t="shared" si="16"/>
        <v>1.4086505750355907</v>
      </c>
      <c r="AH29" s="2">
        <f t="shared" si="16"/>
        <v>2.1497412419876527</v>
      </c>
      <c r="AI29" s="2">
        <f t="shared" si="16"/>
        <v>1.5890409488846937</v>
      </c>
      <c r="AJ29" s="2">
        <f t="shared" si="16"/>
        <v>1.8334673573426872</v>
      </c>
      <c r="AK29" s="2">
        <f t="shared" si="16"/>
        <v>1.8962182109603039</v>
      </c>
      <c r="AL29" s="2">
        <f t="shared" si="16"/>
        <v>1.5370378971387022</v>
      </c>
      <c r="AM29" s="2">
        <f t="shared" si="16"/>
        <v>2.5311853823257762</v>
      </c>
      <c r="AN29" s="2">
        <f t="shared" si="16"/>
        <v>1.387280961133347</v>
      </c>
      <c r="AO29" s="2">
        <f t="shared" si="16"/>
        <v>1.6139759183501639</v>
      </c>
      <c r="AP29" s="2">
        <f t="shared" si="16"/>
        <v>2.0790935209527341</v>
      </c>
      <c r="AQ29" s="2">
        <f t="shared" si="16"/>
        <v>2.0417649834620017</v>
      </c>
      <c r="AR29" s="2">
        <f t="shared" si="16"/>
        <v>2.6937352127740395</v>
      </c>
      <c r="AS29" s="2">
        <f t="shared" si="16"/>
        <v>2.3540678636457866</v>
      </c>
      <c r="AT29" s="2">
        <f t="shared" si="16"/>
        <v>1.6737238641999095</v>
      </c>
      <c r="AU29" s="2">
        <f t="shared" si="16"/>
        <v>2.7252919206006649</v>
      </c>
      <c r="AV29" s="2">
        <f t="shared" si="16"/>
        <v>2.110442906475742</v>
      </c>
      <c r="AW29" s="2">
        <f t="shared" si="16"/>
        <v>2.8924707185356868</v>
      </c>
      <c r="AX29" s="2">
        <f t="shared" si="16"/>
        <v>1.7847500644463878</v>
      </c>
      <c r="AY29" s="2">
        <f t="shared" si="16"/>
        <v>2.6857699323864157</v>
      </c>
      <c r="AZ29" s="2">
        <f t="shared" si="16"/>
        <v>2.2924297955001198</v>
      </c>
      <c r="BA29" s="2">
        <f t="shared" si="16"/>
        <v>2.4289251213006731</v>
      </c>
      <c r="BB29" s="2">
        <f t="shared" si="16"/>
        <v>2.3326438400917731</v>
      </c>
      <c r="BC29" s="2">
        <f t="shared" si="16"/>
        <v>2.398263049895299</v>
      </c>
      <c r="BD29" s="2">
        <f t="shared" si="16"/>
        <v>2.1220367907523299</v>
      </c>
      <c r="BE29" s="2">
        <f t="shared" si="16"/>
        <v>2.3476010090617612</v>
      </c>
      <c r="BF29" s="2">
        <f t="shared" si="16"/>
        <v>1.713596188599299</v>
      </c>
      <c r="BG29" s="2">
        <f t="shared" si="16"/>
        <v>1.730816302868587</v>
      </c>
      <c r="BH29" s="2">
        <f t="shared" si="16"/>
        <v>2.1129248226478987</v>
      </c>
      <c r="BI29" s="2">
        <f t="shared" si="16"/>
        <v>1.447076580842755</v>
      </c>
      <c r="BJ29" s="2">
        <f t="shared" si="16"/>
        <v>1.9367233822211927</v>
      </c>
      <c r="BK29" s="2">
        <f t="shared" si="16"/>
        <v>1.6227013106228836</v>
      </c>
      <c r="BL29" s="2">
        <f t="shared" si="16"/>
        <v>1.7787112907684353</v>
      </c>
      <c r="BM29" s="2">
        <f t="shared" si="16"/>
        <v>1.6353195094333923</v>
      </c>
      <c r="BN29" s="2">
        <f t="shared" si="16"/>
        <v>1.4712557592420468</v>
      </c>
      <c r="BO29" s="2">
        <f t="shared" si="16"/>
        <v>1.8984727795695102</v>
      </c>
      <c r="BP29" s="2">
        <f t="shared" si="16"/>
        <v>2.1247740373828905</v>
      </c>
      <c r="BQ29" s="2">
        <f t="shared" si="16"/>
        <v>2.4193363251555486</v>
      </c>
      <c r="BR29" s="2">
        <f t="shared" si="16"/>
        <v>2.542055886305683</v>
      </c>
      <c r="BS29" s="2">
        <f t="shared" si="16"/>
        <v>2.5549770393593096</v>
      </c>
      <c r="BT29" s="2">
        <f t="shared" si="16"/>
        <v>2.1991481826831207</v>
      </c>
      <c r="BU29" s="2">
        <f t="shared" si="16"/>
        <v>3.1471656608617153</v>
      </c>
      <c r="BV29" s="2">
        <f t="shared" si="16"/>
        <v>2.4600927166928681</v>
      </c>
      <c r="BW29" s="2">
        <f t="shared" si="16"/>
        <v>2.7214366756265749</v>
      </c>
      <c r="BX29" s="2">
        <f t="shared" si="16"/>
        <v>2.2302310224548605</v>
      </c>
      <c r="BY29" s="2">
        <f t="shared" si="16"/>
        <v>2.0382625988610519</v>
      </c>
      <c r="BZ29" s="2">
        <f t="shared" si="16"/>
        <v>2.8993231993537898</v>
      </c>
      <c r="CE29" s="3"/>
      <c r="CF29" s="3"/>
      <c r="CG29" s="3"/>
      <c r="CH29" s="3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1"/>
    </row>
    <row r="30" spans="1:104" x14ac:dyDescent="0.2">
      <c r="A30">
        <v>7279</v>
      </c>
      <c r="B30" s="2">
        <v>95</v>
      </c>
      <c r="C30" s="2" t="s">
        <v>8</v>
      </c>
      <c r="D30" s="2" t="s">
        <v>71</v>
      </c>
      <c r="E30" s="2" t="s">
        <v>70</v>
      </c>
      <c r="F30" s="2" t="s">
        <v>69</v>
      </c>
      <c r="G30" s="2" t="s">
        <v>69</v>
      </c>
      <c r="H30" s="2">
        <v>2</v>
      </c>
      <c r="I30" s="2" t="s">
        <v>68</v>
      </c>
      <c r="J30" s="2">
        <v>743.54772000000003</v>
      </c>
      <c r="K30" s="2">
        <v>743.54769999999996</v>
      </c>
      <c r="L30" s="2">
        <v>742.53934660000004</v>
      </c>
      <c r="M30" s="2">
        <v>5.5720000000000001</v>
      </c>
      <c r="N30" s="2">
        <v>5.57</v>
      </c>
      <c r="O30" s="2">
        <v>1.1077963404932381</v>
      </c>
      <c r="P30" s="5" t="s">
        <v>3</v>
      </c>
      <c r="Q30" s="2">
        <v>5.0279999999999996</v>
      </c>
      <c r="R30" s="2">
        <v>1</v>
      </c>
      <c r="S30" s="2" t="s">
        <v>2</v>
      </c>
      <c r="T30" s="2" t="s">
        <v>1</v>
      </c>
      <c r="AC30" s="2">
        <f t="shared" si="17"/>
        <v>2.3264904833006979E-2</v>
      </c>
      <c r="AD30" s="2">
        <f t="shared" si="16"/>
        <v>7.3962808453689091E-2</v>
      </c>
      <c r="AE30" s="2">
        <f t="shared" si="16"/>
        <v>5.234940222307314E-2</v>
      </c>
      <c r="AF30" s="2">
        <f t="shared" si="16"/>
        <v>0.12394896876997073</v>
      </c>
      <c r="AG30" s="2">
        <f t="shared" si="16"/>
        <v>4.844540098875269E-2</v>
      </c>
      <c r="AH30" s="2">
        <f t="shared" si="16"/>
        <v>4.7324533493793841E-2</v>
      </c>
      <c r="AI30" s="2">
        <f t="shared" si="16"/>
        <v>0.14595761684829731</v>
      </c>
      <c r="AJ30" s="2">
        <f t="shared" si="16"/>
        <v>5.1562195791584636E-2</v>
      </c>
      <c r="AK30" s="2">
        <f t="shared" si="16"/>
        <v>7.9381549626384801E-2</v>
      </c>
      <c r="AL30" s="2">
        <f t="shared" si="16"/>
        <v>5.6834529569423801E-2</v>
      </c>
      <c r="AM30" s="2">
        <f t="shared" si="16"/>
        <v>0.44988821451584865</v>
      </c>
      <c r="AN30" s="2">
        <f t="shared" si="16"/>
        <v>0.11057250557854391</v>
      </c>
      <c r="AO30" s="2">
        <f t="shared" si="16"/>
        <v>4.9375923733106862E-2</v>
      </c>
      <c r="AP30" s="2">
        <f t="shared" si="16"/>
        <v>8.1599500830931468E-2</v>
      </c>
      <c r="AQ30" s="2">
        <f t="shared" si="16"/>
        <v>0.24578218127668294</v>
      </c>
      <c r="AR30" s="2">
        <f t="shared" si="16"/>
        <v>6.4604683550850417E-2</v>
      </c>
      <c r="AS30" s="2">
        <f t="shared" si="16"/>
        <v>0.19597969022121833</v>
      </c>
      <c r="AT30" s="2">
        <f t="shared" si="16"/>
        <v>5.025081677646176E-2</v>
      </c>
      <c r="AU30" s="2">
        <f t="shared" si="16"/>
        <v>0.11291980077349453</v>
      </c>
      <c r="AV30" s="2">
        <f t="shared" si="16"/>
        <v>5.6370424149393729E-2</v>
      </c>
      <c r="AW30" s="2">
        <f t="shared" si="16"/>
        <v>6.1526632405330774E-2</v>
      </c>
      <c r="AX30" s="2">
        <f t="shared" si="16"/>
        <v>5.6388233966456813E-2</v>
      </c>
      <c r="AY30" s="2">
        <f t="shared" si="16"/>
        <v>6.9206376960007754E-2</v>
      </c>
      <c r="AZ30" s="2">
        <f t="shared" si="16"/>
        <v>4.7088435249944327E-2</v>
      </c>
      <c r="BA30" s="2">
        <f t="shared" si="16"/>
        <v>5.3406125819886248E-2</v>
      </c>
      <c r="BB30" s="2">
        <f t="shared" si="16"/>
        <v>5.1424931576927436E-2</v>
      </c>
      <c r="BC30" s="2">
        <f t="shared" si="16"/>
        <v>6.6280359794352289E-2</v>
      </c>
      <c r="BD30" s="2">
        <f t="shared" si="16"/>
        <v>6.937559185450326E-2</v>
      </c>
      <c r="BE30" s="2">
        <f t="shared" si="16"/>
        <v>5.6498525948898516E-2</v>
      </c>
      <c r="BF30" s="2">
        <f t="shared" si="16"/>
        <v>2.771875167630538E-2</v>
      </c>
      <c r="BG30" s="2">
        <f t="shared" si="16"/>
        <v>5.0704735612975754E-2</v>
      </c>
      <c r="BH30" s="2">
        <f t="shared" si="16"/>
        <v>3.9182178020756499E-2</v>
      </c>
      <c r="BI30" s="2">
        <f t="shared" si="16"/>
        <v>5.3052297887646975E-2</v>
      </c>
      <c r="BJ30" s="2">
        <f t="shared" si="16"/>
        <v>4.6319625356473874E-2</v>
      </c>
      <c r="BK30" s="2">
        <f t="shared" si="16"/>
        <v>6.1464662536494838E-2</v>
      </c>
      <c r="BL30" s="2">
        <f t="shared" si="16"/>
        <v>6.7350686977347043E-2</v>
      </c>
      <c r="BM30" s="2">
        <f t="shared" si="16"/>
        <v>7.4174709613930467E-2</v>
      </c>
      <c r="BN30" s="2">
        <f t="shared" si="16"/>
        <v>3.2133262930202224E-2</v>
      </c>
      <c r="BO30" s="2">
        <f t="shared" si="16"/>
        <v>6.0360680067380761E-2</v>
      </c>
      <c r="BP30" s="2">
        <f t="shared" si="16"/>
        <v>4.7363635944885907E-2</v>
      </c>
      <c r="BQ30" s="2">
        <f t="shared" si="16"/>
        <v>4.8087338785752588E-2</v>
      </c>
      <c r="BR30" s="2">
        <f t="shared" si="16"/>
        <v>7.9510034703451929E-2</v>
      </c>
      <c r="BS30" s="2">
        <f t="shared" si="16"/>
        <v>0.10859913583830962</v>
      </c>
      <c r="BT30" s="2">
        <f t="shared" si="16"/>
        <v>4.9211064645531377E-2</v>
      </c>
      <c r="BU30" s="2">
        <f t="shared" si="16"/>
        <v>6.8314098149132765E-2</v>
      </c>
      <c r="BV30" s="2">
        <f t="shared" si="16"/>
        <v>4.0720330583732998E-2</v>
      </c>
      <c r="BW30" s="2">
        <f t="shared" si="16"/>
        <v>9.3857725737595654E-2</v>
      </c>
      <c r="BX30" s="2">
        <f t="shared" si="16"/>
        <v>3.1426371993473166E-2</v>
      </c>
      <c r="BY30" s="2">
        <f t="shared" si="16"/>
        <v>5.8935722830256859E-2</v>
      </c>
      <c r="BZ30" s="2">
        <f t="shared" si="16"/>
        <v>5.1480044670990072E-2</v>
      </c>
      <c r="CE30" s="3"/>
      <c r="CF30" s="3"/>
      <c r="CG30" s="3"/>
      <c r="CH30" s="3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1"/>
    </row>
    <row r="31" spans="1:104" x14ac:dyDescent="0.2">
      <c r="A31">
        <v>7278</v>
      </c>
      <c r="B31" s="2">
        <v>93</v>
      </c>
      <c r="C31" s="2" t="s">
        <v>8</v>
      </c>
      <c r="D31" s="2" t="s">
        <v>67</v>
      </c>
      <c r="E31" s="2" t="s">
        <v>66</v>
      </c>
      <c r="F31" s="2" t="s">
        <v>65</v>
      </c>
      <c r="G31" s="2" t="s">
        <v>65</v>
      </c>
      <c r="H31" s="2">
        <v>2</v>
      </c>
      <c r="I31" s="2" t="s">
        <v>64</v>
      </c>
      <c r="J31" s="2">
        <v>741.53107999999997</v>
      </c>
      <c r="K31" s="2">
        <v>741.53110000000004</v>
      </c>
      <c r="L31" s="2">
        <v>740.52270659999999</v>
      </c>
      <c r="M31" s="2">
        <v>4.8869999999999996</v>
      </c>
      <c r="N31" s="2">
        <v>4.8899999999999997</v>
      </c>
      <c r="O31" s="2">
        <v>0.97255369928400959</v>
      </c>
      <c r="P31" s="5" t="s">
        <v>3</v>
      </c>
      <c r="Q31" s="2">
        <v>5.0279999999999996</v>
      </c>
      <c r="R31" s="2">
        <v>1</v>
      </c>
      <c r="S31" s="2" t="s">
        <v>2</v>
      </c>
      <c r="T31" s="2" t="s">
        <v>1</v>
      </c>
      <c r="AC31" s="2">
        <f t="shared" si="17"/>
        <v>9.5461745342691515E-2</v>
      </c>
      <c r="AD31" s="2">
        <f t="shared" si="16"/>
        <v>0.12573062535614365</v>
      </c>
      <c r="AE31" s="2">
        <f t="shared" si="16"/>
        <v>0.10643383655253669</v>
      </c>
      <c r="AF31" s="2">
        <f t="shared" si="16"/>
        <v>0.10078827191476808</v>
      </c>
      <c r="AG31" s="2">
        <f t="shared" si="16"/>
        <v>8.4902693231600102E-2</v>
      </c>
      <c r="AH31" s="2">
        <f t="shared" si="16"/>
        <v>0.15766996727776386</v>
      </c>
      <c r="AI31" s="2">
        <f t="shared" si="16"/>
        <v>0.11718090530120071</v>
      </c>
      <c r="AJ31" s="2">
        <f t="shared" si="16"/>
        <v>0.13622400035693027</v>
      </c>
      <c r="AK31" s="2">
        <f t="shared" si="16"/>
        <v>0.14397756859571384</v>
      </c>
      <c r="AL31" s="2">
        <f t="shared" si="16"/>
        <v>0.10110839400995859</v>
      </c>
      <c r="AM31" s="2">
        <f t="shared" si="16"/>
        <v>0.25506083980988598</v>
      </c>
      <c r="AN31" s="2">
        <f t="shared" si="16"/>
        <v>0.10284666954760008</v>
      </c>
      <c r="AO31" s="2">
        <f t="shared" si="16"/>
        <v>0.11560936771604889</v>
      </c>
      <c r="AP31" s="2">
        <f t="shared" si="16"/>
        <v>0.13990978653779063</v>
      </c>
      <c r="AQ31" s="2">
        <f t="shared" si="16"/>
        <v>0.15061393695140807</v>
      </c>
      <c r="AR31" s="2">
        <f t="shared" si="16"/>
        <v>0.19818192424423442</v>
      </c>
      <c r="AS31" s="2">
        <f t="shared" si="16"/>
        <v>0.19792051421494147</v>
      </c>
      <c r="AT31" s="2">
        <f t="shared" si="16"/>
        <v>0.15377799210013793</v>
      </c>
      <c r="AU31" s="2">
        <f t="shared" si="16"/>
        <v>0.20283421330797391</v>
      </c>
      <c r="AV31" s="2">
        <f t="shared" si="16"/>
        <v>0.16199582329136386</v>
      </c>
      <c r="AW31" s="2">
        <f t="shared" si="16"/>
        <v>0.27160129876596106</v>
      </c>
      <c r="AX31" s="2">
        <f t="shared" si="16"/>
        <v>0.12165626438641773</v>
      </c>
      <c r="AY31" s="2">
        <f t="shared" si="16"/>
        <v>0.20262341636092693</v>
      </c>
      <c r="AZ31" s="2">
        <f t="shared" si="16"/>
        <v>0.16807485413506881</v>
      </c>
      <c r="BA31" s="2">
        <f t="shared" si="16"/>
        <v>0.18217848660945277</v>
      </c>
      <c r="BB31" s="2">
        <f t="shared" si="16"/>
        <v>0.14067747462257682</v>
      </c>
      <c r="BC31" s="2">
        <f t="shared" ref="AD31:BZ36" si="18">(BC8/BC$2)*0.059213</f>
        <v>0.14204596364170374</v>
      </c>
      <c r="BD31" s="2">
        <f t="shared" si="18"/>
        <v>0.10000663788553463</v>
      </c>
      <c r="BE31" s="2">
        <f t="shared" si="18"/>
        <v>0.14485344217765864</v>
      </c>
      <c r="BF31" s="2">
        <f t="shared" si="18"/>
        <v>8.8008214874390089E-2</v>
      </c>
      <c r="BG31" s="2">
        <f t="shared" si="18"/>
        <v>0.12352218231655011</v>
      </c>
      <c r="BH31" s="2">
        <f t="shared" si="18"/>
        <v>0.13172433788577434</v>
      </c>
      <c r="BI31" s="2">
        <f t="shared" si="18"/>
        <v>9.5357150632920856E-2</v>
      </c>
      <c r="BJ31" s="2">
        <f t="shared" si="18"/>
        <v>0.117785178839796</v>
      </c>
      <c r="BK31" s="2">
        <f t="shared" si="18"/>
        <v>0.10399529624426866</v>
      </c>
      <c r="BL31" s="2">
        <f t="shared" si="18"/>
        <v>0.12249415519284618</v>
      </c>
      <c r="BM31" s="2">
        <f t="shared" si="18"/>
        <v>0.11210030906053148</v>
      </c>
      <c r="BN31" s="2">
        <f t="shared" si="18"/>
        <v>9.3859616930607556E-2</v>
      </c>
      <c r="BO31" s="2">
        <f t="shared" si="18"/>
        <v>0.1366643164811675</v>
      </c>
      <c r="BP31" s="2">
        <f t="shared" si="18"/>
        <v>0.12553418392151505</v>
      </c>
      <c r="BQ31" s="2">
        <f t="shared" si="18"/>
        <v>0.14303650792678876</v>
      </c>
      <c r="BR31" s="2">
        <f t="shared" si="18"/>
        <v>0.17133890787195341</v>
      </c>
      <c r="BS31" s="2">
        <f t="shared" si="18"/>
        <v>0.20176342884162593</v>
      </c>
      <c r="BT31" s="2">
        <f t="shared" si="18"/>
        <v>0.12735462824233756</v>
      </c>
      <c r="BU31" s="2">
        <f t="shared" si="18"/>
        <v>0.20262678350724928</v>
      </c>
      <c r="BV31" s="2">
        <f t="shared" si="18"/>
        <v>0.15983601770116759</v>
      </c>
      <c r="BW31" s="2">
        <f t="shared" si="18"/>
        <v>0.20082501565000035</v>
      </c>
      <c r="BX31" s="2">
        <f t="shared" si="18"/>
        <v>0.14585734978070597</v>
      </c>
      <c r="BY31" s="2">
        <f t="shared" si="18"/>
        <v>0.14397083439141864</v>
      </c>
      <c r="BZ31" s="2">
        <f t="shared" si="18"/>
        <v>0.20047189384908898</v>
      </c>
      <c r="CE31" s="3"/>
      <c r="CF31" s="3"/>
      <c r="CG31" s="3"/>
      <c r="CH31" s="3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1"/>
    </row>
    <row r="32" spans="1:104" x14ac:dyDescent="0.2">
      <c r="A32">
        <v>7277</v>
      </c>
      <c r="B32" s="2">
        <v>91</v>
      </c>
      <c r="C32" s="2" t="s">
        <v>8</v>
      </c>
      <c r="D32" s="2" t="s">
        <v>63</v>
      </c>
      <c r="E32" s="2" t="s">
        <v>62</v>
      </c>
      <c r="F32" s="2" t="s">
        <v>61</v>
      </c>
      <c r="G32" s="2" t="s">
        <v>61</v>
      </c>
      <c r="H32" s="2">
        <v>2</v>
      </c>
      <c r="I32" s="2" t="s">
        <v>57</v>
      </c>
      <c r="J32" s="2">
        <v>739.51588000000004</v>
      </c>
      <c r="K32" s="2">
        <v>739.51589999999999</v>
      </c>
      <c r="L32" s="2">
        <v>738.50750660000006</v>
      </c>
      <c r="M32" s="2">
        <v>4.6970000000000001</v>
      </c>
      <c r="N32" s="2">
        <v>4.7</v>
      </c>
      <c r="O32" s="2">
        <v>0.93476531424025466</v>
      </c>
      <c r="P32" s="5" t="s">
        <v>3</v>
      </c>
      <c r="Q32" s="2">
        <v>5.0279999999999996</v>
      </c>
      <c r="R32" s="2">
        <v>1</v>
      </c>
      <c r="S32" s="2" t="s">
        <v>2</v>
      </c>
      <c r="T32" s="2" t="s">
        <v>1</v>
      </c>
      <c r="AC32" s="2">
        <f t="shared" si="17"/>
        <v>0.51635698074435121</v>
      </c>
      <c r="AD32" s="2">
        <f t="shared" si="18"/>
        <v>0.63996423822078885</v>
      </c>
      <c r="AE32" s="2">
        <f t="shared" si="18"/>
        <v>0.59123558453921188</v>
      </c>
      <c r="AF32" s="2">
        <f t="shared" si="18"/>
        <v>0.49801934068355247</v>
      </c>
      <c r="AG32" s="2">
        <f t="shared" si="18"/>
        <v>0.49341160428406261</v>
      </c>
      <c r="AH32" s="2">
        <f t="shared" si="18"/>
        <v>0.59278043593930985</v>
      </c>
      <c r="AI32" s="2">
        <f t="shared" si="18"/>
        <v>0.51284715927352953</v>
      </c>
      <c r="AJ32" s="2">
        <f t="shared" si="18"/>
        <v>0.61724366749192494</v>
      </c>
      <c r="AK32" s="2">
        <f t="shared" si="18"/>
        <v>0.60186493654538487</v>
      </c>
      <c r="AL32" s="2">
        <f t="shared" si="18"/>
        <v>0.58366228440045964</v>
      </c>
      <c r="AM32" s="2">
        <f t="shared" si="18"/>
        <v>0.72135136567737412</v>
      </c>
      <c r="AN32" s="2">
        <f t="shared" si="18"/>
        <v>0.429247574755035</v>
      </c>
      <c r="AO32" s="2">
        <f t="shared" si="18"/>
        <v>0.53087970764135062</v>
      </c>
      <c r="AP32" s="2">
        <f t="shared" si="18"/>
        <v>0.68668413888255708</v>
      </c>
      <c r="AQ32" s="2">
        <f t="shared" si="18"/>
        <v>0.62804444580436225</v>
      </c>
      <c r="AR32" s="2">
        <f t="shared" si="18"/>
        <v>0.61819755779612062</v>
      </c>
      <c r="AS32" s="2">
        <f t="shared" si="18"/>
        <v>0.68973483525065959</v>
      </c>
      <c r="AT32" s="2">
        <f t="shared" si="18"/>
        <v>0.38844264285052832</v>
      </c>
      <c r="AU32" s="2">
        <f t="shared" si="18"/>
        <v>0.62489115654049021</v>
      </c>
      <c r="AV32" s="2">
        <f t="shared" si="18"/>
        <v>0.44805242949046936</v>
      </c>
      <c r="AW32" s="2">
        <f t="shared" si="18"/>
        <v>0.62318387434913869</v>
      </c>
      <c r="AX32" s="2">
        <f t="shared" si="18"/>
        <v>0.62297265067871987</v>
      </c>
      <c r="AY32" s="2">
        <f t="shared" si="18"/>
        <v>0.58463599153515944</v>
      </c>
      <c r="AZ32" s="2">
        <f t="shared" si="18"/>
        <v>0.52106105493537391</v>
      </c>
      <c r="BA32" s="2">
        <f t="shared" si="18"/>
        <v>0.59478694990122116</v>
      </c>
      <c r="BB32" s="2">
        <f t="shared" si="18"/>
        <v>0.67246045760874307</v>
      </c>
      <c r="BC32" s="2">
        <f t="shared" si="18"/>
        <v>0.62327308637069001</v>
      </c>
      <c r="BD32" s="2">
        <f t="shared" si="18"/>
        <v>0.77145178940339765</v>
      </c>
      <c r="BE32" s="2">
        <f t="shared" si="18"/>
        <v>0.79047856528471816</v>
      </c>
      <c r="BF32" s="2">
        <f t="shared" si="18"/>
        <v>0.57558971412157423</v>
      </c>
      <c r="BG32" s="2">
        <f t="shared" si="18"/>
        <v>0.49689548286540997</v>
      </c>
      <c r="BH32" s="2">
        <f t="shared" si="18"/>
        <v>0.62593030071851097</v>
      </c>
      <c r="BI32" s="2">
        <f t="shared" si="18"/>
        <v>0.49370028125487792</v>
      </c>
      <c r="BJ32" s="2">
        <f t="shared" si="18"/>
        <v>0.6626474868199228</v>
      </c>
      <c r="BK32" s="2">
        <f t="shared" si="18"/>
        <v>0.43108994505492976</v>
      </c>
      <c r="BL32" s="2">
        <f t="shared" si="18"/>
        <v>0.55244857100790146</v>
      </c>
      <c r="BM32" s="2">
        <f t="shared" si="18"/>
        <v>0.55544815961034333</v>
      </c>
      <c r="BN32" s="2">
        <f t="shared" si="18"/>
        <v>0.49931041029724921</v>
      </c>
      <c r="BO32" s="2">
        <f t="shared" si="18"/>
        <v>0.44441496355650084</v>
      </c>
      <c r="BP32" s="2">
        <f t="shared" si="18"/>
        <v>0.67753618108361779</v>
      </c>
      <c r="BQ32" s="2">
        <f t="shared" si="18"/>
        <v>0.79601350485072875</v>
      </c>
      <c r="BR32" s="2">
        <f t="shared" si="18"/>
        <v>0.56675859777609994</v>
      </c>
      <c r="BS32" s="2">
        <f t="shared" si="18"/>
        <v>0.52019628475131463</v>
      </c>
      <c r="BT32" s="2">
        <f t="shared" si="18"/>
        <v>0.52993946063700581</v>
      </c>
      <c r="BU32" s="2">
        <f t="shared" si="18"/>
        <v>0.73676337263565916</v>
      </c>
      <c r="BV32" s="2">
        <f t="shared" si="18"/>
        <v>0.63357306471038144</v>
      </c>
      <c r="BW32" s="2">
        <f t="shared" si="18"/>
        <v>0.49050793524939401</v>
      </c>
      <c r="BX32" s="2">
        <f t="shared" si="18"/>
        <v>0.52568623944342641</v>
      </c>
      <c r="BY32" s="2">
        <f t="shared" si="18"/>
        <v>0.43909199137056965</v>
      </c>
      <c r="BZ32" s="2">
        <f t="shared" si="18"/>
        <v>0.60884616519950341</v>
      </c>
      <c r="CE32" s="3"/>
      <c r="CF32" s="3"/>
      <c r="CG32" s="3"/>
      <c r="CH32" s="3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1"/>
    </row>
    <row r="33" spans="1:104" x14ac:dyDescent="0.2">
      <c r="A33">
        <v>7276</v>
      </c>
      <c r="B33" s="2">
        <v>88</v>
      </c>
      <c r="C33" s="2" t="s">
        <v>8</v>
      </c>
      <c r="D33" s="2" t="s">
        <v>60</v>
      </c>
      <c r="E33" s="2" t="s">
        <v>59</v>
      </c>
      <c r="F33" s="2" t="s">
        <v>58</v>
      </c>
      <c r="G33" s="2" t="s">
        <v>58</v>
      </c>
      <c r="H33" s="2">
        <v>2</v>
      </c>
      <c r="I33" s="2" t="s">
        <v>57</v>
      </c>
      <c r="J33" s="2">
        <v>739.51517999999999</v>
      </c>
      <c r="K33" s="2">
        <v>739.51520000000005</v>
      </c>
      <c r="L33" s="2">
        <v>738.5068066</v>
      </c>
      <c r="M33" s="2">
        <v>4.2709999999999999</v>
      </c>
      <c r="N33" s="2">
        <v>4.2699999999999996</v>
      </c>
      <c r="O33" s="2">
        <v>0.84924423229912493</v>
      </c>
      <c r="P33" s="5" t="s">
        <v>3</v>
      </c>
      <c r="Q33" s="2">
        <v>5.0279999999999996</v>
      </c>
      <c r="R33" s="2">
        <v>1</v>
      </c>
      <c r="S33" s="2" t="s">
        <v>2</v>
      </c>
      <c r="T33" s="2" t="s">
        <v>1</v>
      </c>
      <c r="AC33" s="2">
        <f t="shared" si="17"/>
        <v>0.11585893417605969</v>
      </c>
      <c r="AD33" s="2">
        <f t="shared" si="18"/>
        <v>0.17991435605363199</v>
      </c>
      <c r="AE33" s="2">
        <f t="shared" si="18"/>
        <v>0.14077456121018445</v>
      </c>
      <c r="AF33" s="2">
        <f t="shared" si="18"/>
        <v>0.13138948135619008</v>
      </c>
      <c r="AG33" s="2">
        <f t="shared" si="18"/>
        <v>0.1101927489760454</v>
      </c>
      <c r="AH33" s="2">
        <f t="shared" si="18"/>
        <v>0.19846872083382608</v>
      </c>
      <c r="AI33" s="2">
        <f t="shared" si="18"/>
        <v>0.14942015210586829</v>
      </c>
      <c r="AJ33" s="2">
        <f t="shared" si="18"/>
        <v>0.16773617010175712</v>
      </c>
      <c r="AK33" s="2">
        <f t="shared" si="18"/>
        <v>0.15473656756761983</v>
      </c>
      <c r="AL33" s="2">
        <f t="shared" si="18"/>
        <v>0.12086291190044186</v>
      </c>
      <c r="AM33" s="2">
        <f t="shared" si="18"/>
        <v>0.22050937793732786</v>
      </c>
      <c r="AN33" s="2">
        <f t="shared" si="18"/>
        <v>0.12167338867659282</v>
      </c>
      <c r="AO33" s="2">
        <f t="shared" si="18"/>
        <v>0.13369532957653504</v>
      </c>
      <c r="AP33" s="2">
        <f t="shared" si="18"/>
        <v>0.15875993488870643</v>
      </c>
      <c r="AQ33" s="2">
        <f t="shared" si="18"/>
        <v>0.17481782854856831</v>
      </c>
      <c r="AR33" s="2">
        <f t="shared" si="18"/>
        <v>0.22581921964758034</v>
      </c>
      <c r="AS33" s="2">
        <f t="shared" si="18"/>
        <v>0.20698043383545447</v>
      </c>
      <c r="AT33" s="2">
        <f t="shared" si="18"/>
        <v>0.17458652112353878</v>
      </c>
      <c r="AU33" s="2">
        <f t="shared" si="18"/>
        <v>0.23659938188842192</v>
      </c>
      <c r="AV33" s="2">
        <f t="shared" si="18"/>
        <v>0.19581973886353968</v>
      </c>
      <c r="AW33" s="2">
        <f t="shared" si="18"/>
        <v>0.30937416909155446</v>
      </c>
      <c r="AX33" s="2">
        <f t="shared" si="18"/>
        <v>0.15422301024736301</v>
      </c>
      <c r="AY33" s="2">
        <f t="shared" si="18"/>
        <v>0.26243480562095783</v>
      </c>
      <c r="AZ33" s="2">
        <f t="shared" si="18"/>
        <v>0.21558543790669982</v>
      </c>
      <c r="BA33" s="2">
        <f t="shared" si="18"/>
        <v>0.22260516513753281</v>
      </c>
      <c r="BB33" s="2">
        <f t="shared" si="18"/>
        <v>0.17619059699478323</v>
      </c>
      <c r="BC33" s="2">
        <f t="shared" si="18"/>
        <v>0.22952143931547755</v>
      </c>
      <c r="BD33" s="2">
        <f t="shared" si="18"/>
        <v>0.15036814901931222</v>
      </c>
      <c r="BE33" s="2">
        <f t="shared" si="18"/>
        <v>0.17979872929815444</v>
      </c>
      <c r="BF33" s="2">
        <f t="shared" si="18"/>
        <v>0.13772106062087083</v>
      </c>
      <c r="BG33" s="2">
        <f t="shared" si="18"/>
        <v>0.15081103862448716</v>
      </c>
      <c r="BH33" s="2">
        <f t="shared" si="18"/>
        <v>0.17440446452848674</v>
      </c>
      <c r="BI33" s="2">
        <f t="shared" si="18"/>
        <v>0.11995214990106899</v>
      </c>
      <c r="BJ33" s="2">
        <f t="shared" si="18"/>
        <v>0.16043950614998589</v>
      </c>
      <c r="BK33" s="2">
        <f t="shared" si="18"/>
        <v>0.12535638829557103</v>
      </c>
      <c r="BL33" s="2">
        <f t="shared" si="18"/>
        <v>0.14618498544786762</v>
      </c>
      <c r="BM33" s="2">
        <f t="shared" si="18"/>
        <v>0.12969068063598693</v>
      </c>
      <c r="BN33" s="2">
        <f t="shared" si="18"/>
        <v>0.1104265699415589</v>
      </c>
      <c r="BO33" s="2">
        <f t="shared" si="18"/>
        <v>0.16446548587564291</v>
      </c>
      <c r="BP33" s="2">
        <f t="shared" si="18"/>
        <v>0.15202540685966978</v>
      </c>
      <c r="BQ33" s="2">
        <f t="shared" si="18"/>
        <v>0.19420940264964578</v>
      </c>
      <c r="BR33" s="2">
        <f t="shared" si="18"/>
        <v>0.22043199875226044</v>
      </c>
      <c r="BS33" s="2">
        <f t="shared" si="18"/>
        <v>0.25743931086067379</v>
      </c>
      <c r="BT33" s="2">
        <f t="shared" si="18"/>
        <v>0.18175955896898283</v>
      </c>
      <c r="BU33" s="2">
        <f t="shared" si="18"/>
        <v>0.25708919153527732</v>
      </c>
      <c r="BV33" s="2">
        <f t="shared" si="18"/>
        <v>0.18544270120089104</v>
      </c>
      <c r="BW33" s="2">
        <f t="shared" si="18"/>
        <v>0.21854415562063204</v>
      </c>
      <c r="BX33" s="2">
        <f t="shared" si="18"/>
        <v>0.18212434862853846</v>
      </c>
      <c r="BY33" s="2">
        <f t="shared" si="18"/>
        <v>0.17924436729216711</v>
      </c>
      <c r="BZ33" s="2">
        <f t="shared" si="18"/>
        <v>0.23939791422913093</v>
      </c>
      <c r="CE33" s="3"/>
      <c r="CF33" s="3"/>
      <c r="CG33" s="3"/>
      <c r="CH33" s="3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1"/>
    </row>
    <row r="34" spans="1:104" x14ac:dyDescent="0.2">
      <c r="A34">
        <v>7275</v>
      </c>
      <c r="B34" s="2">
        <v>86</v>
      </c>
      <c r="C34" s="2" t="s">
        <v>8</v>
      </c>
      <c r="D34" s="2" t="s">
        <v>56</v>
      </c>
      <c r="E34" s="2" t="s">
        <v>55</v>
      </c>
      <c r="F34" s="2" t="s">
        <v>54</v>
      </c>
      <c r="G34" s="2" t="s">
        <v>54</v>
      </c>
      <c r="H34" s="2">
        <v>2</v>
      </c>
      <c r="I34" s="2" t="s">
        <v>53</v>
      </c>
      <c r="J34" s="2">
        <v>753.53098</v>
      </c>
      <c r="K34" s="2">
        <v>753.53099999999995</v>
      </c>
      <c r="L34" s="2">
        <v>752.52260660000002</v>
      </c>
      <c r="M34" s="2">
        <v>5.1319999999999997</v>
      </c>
      <c r="N34" s="2">
        <v>5.13</v>
      </c>
      <c r="O34" s="2">
        <v>1.0202863961813844</v>
      </c>
      <c r="P34" s="5" t="s">
        <v>3</v>
      </c>
      <c r="Q34" s="2">
        <v>5.0279999999999996</v>
      </c>
      <c r="R34" s="2">
        <v>1</v>
      </c>
      <c r="S34" s="2" t="s">
        <v>2</v>
      </c>
      <c r="T34" s="2" t="s">
        <v>1</v>
      </c>
      <c r="AC34" s="2">
        <f t="shared" si="17"/>
        <v>3.0049732948864843E-2</v>
      </c>
      <c r="AD34" s="2">
        <f t="shared" si="18"/>
        <v>3.697734737277153E-2</v>
      </c>
      <c r="AE34" s="2">
        <f t="shared" si="18"/>
        <v>2.9675776813603727E-2</v>
      </c>
      <c r="AF34" s="2">
        <f t="shared" si="18"/>
        <v>2.9680129694615465E-2</v>
      </c>
      <c r="AG34" s="2">
        <f t="shared" si="18"/>
        <v>2.6623556657860835E-2</v>
      </c>
      <c r="AH34" s="2">
        <f t="shared" si="18"/>
        <v>3.8967394665748063E-2</v>
      </c>
      <c r="AI34" s="2">
        <f t="shared" si="18"/>
        <v>3.1283579449301879E-2</v>
      </c>
      <c r="AJ34" s="2">
        <f t="shared" si="18"/>
        <v>4.1509826209911421E-2</v>
      </c>
      <c r="AK34" s="2">
        <f t="shared" si="18"/>
        <v>4.4308630131577598E-2</v>
      </c>
      <c r="AL34" s="2">
        <f t="shared" si="18"/>
        <v>3.3899893006064864E-2</v>
      </c>
      <c r="AM34" s="2">
        <f t="shared" si="18"/>
        <v>5.1766954112474874E-2</v>
      </c>
      <c r="AN34" s="2">
        <f t="shared" si="18"/>
        <v>2.8322490206400795E-2</v>
      </c>
      <c r="AO34" s="2">
        <f t="shared" si="18"/>
        <v>3.52552453122899E-2</v>
      </c>
      <c r="AP34" s="2">
        <f t="shared" si="18"/>
        <v>4.41444827571515E-2</v>
      </c>
      <c r="AQ34" s="2">
        <f t="shared" si="18"/>
        <v>4.0201409525643023E-2</v>
      </c>
      <c r="AR34" s="2">
        <f t="shared" si="18"/>
        <v>5.0455376729111635E-2</v>
      </c>
      <c r="AS34" s="2">
        <f t="shared" si="18"/>
        <v>4.7527522100275353E-2</v>
      </c>
      <c r="AT34" s="2">
        <f t="shared" si="18"/>
        <v>3.2585264804868432E-2</v>
      </c>
      <c r="AU34" s="2">
        <f t="shared" si="18"/>
        <v>4.5165393345969196E-2</v>
      </c>
      <c r="AV34" s="2">
        <f t="shared" si="18"/>
        <v>3.0955534338271803E-2</v>
      </c>
      <c r="AW34" s="2">
        <f t="shared" si="18"/>
        <v>4.3678489851700683E-2</v>
      </c>
      <c r="AX34" s="2">
        <f t="shared" si="18"/>
        <v>3.7822671597220733E-2</v>
      </c>
      <c r="AY34" s="2">
        <f t="shared" si="18"/>
        <v>4.0751621186114119E-2</v>
      </c>
      <c r="AZ34" s="2">
        <f t="shared" si="18"/>
        <v>3.6707999889404777E-2</v>
      </c>
      <c r="BA34" s="2">
        <f t="shared" si="18"/>
        <v>4.2838706717323635E-2</v>
      </c>
      <c r="BB34" s="2">
        <f t="shared" si="18"/>
        <v>5.0223133330205477E-2</v>
      </c>
      <c r="BC34" s="2">
        <f t="shared" si="18"/>
        <v>4.9898793067132755E-2</v>
      </c>
      <c r="BD34" s="2">
        <f t="shared" si="18"/>
        <v>5.2092014902469272E-2</v>
      </c>
      <c r="BE34" s="2">
        <f t="shared" si="18"/>
        <v>4.8710296101174659E-2</v>
      </c>
      <c r="BF34" s="2">
        <f t="shared" si="18"/>
        <v>3.7256328278539745E-2</v>
      </c>
      <c r="BG34" s="2">
        <f t="shared" si="18"/>
        <v>3.5318409334479696E-2</v>
      </c>
      <c r="BH34" s="2">
        <f t="shared" si="18"/>
        <v>4.4173780058556864E-2</v>
      </c>
      <c r="BI34" s="2">
        <f t="shared" si="18"/>
        <v>3.0938235151553764E-2</v>
      </c>
      <c r="BJ34" s="2">
        <f t="shared" si="18"/>
        <v>4.7449209877291065E-2</v>
      </c>
      <c r="BK34" s="2">
        <f t="shared" si="18"/>
        <v>2.9443627765877532E-2</v>
      </c>
      <c r="BL34" s="2">
        <f t="shared" si="18"/>
        <v>4.1474590098927691E-2</v>
      </c>
      <c r="BM34" s="2">
        <f t="shared" si="18"/>
        <v>4.1141761967095236E-2</v>
      </c>
      <c r="BN34" s="2">
        <f t="shared" si="18"/>
        <v>3.2420229124835762E-2</v>
      </c>
      <c r="BO34" s="2">
        <f t="shared" si="18"/>
        <v>4.0548294191132969E-2</v>
      </c>
      <c r="BP34" s="2">
        <f t="shared" si="18"/>
        <v>4.8400436342832413E-2</v>
      </c>
      <c r="BQ34" s="2">
        <f t="shared" si="18"/>
        <v>5.2898609212382861E-2</v>
      </c>
      <c r="BR34" s="2">
        <f t="shared" si="18"/>
        <v>4.8920671147866975E-2</v>
      </c>
      <c r="BS34" s="2">
        <f t="shared" si="18"/>
        <v>4.9906491288338205E-2</v>
      </c>
      <c r="BT34" s="2">
        <f t="shared" si="18"/>
        <v>3.6002129311332495E-2</v>
      </c>
      <c r="BU34" s="2">
        <f t="shared" si="18"/>
        <v>5.4296686343044472E-2</v>
      </c>
      <c r="BV34" s="2">
        <f t="shared" si="18"/>
        <v>4.7516950468097806E-2</v>
      </c>
      <c r="BW34" s="2">
        <f t="shared" si="18"/>
        <v>4.6495805847493937E-2</v>
      </c>
      <c r="BX34" s="2">
        <f t="shared" si="18"/>
        <v>4.2312043543169732E-2</v>
      </c>
      <c r="BY34" s="2">
        <f t="shared" si="18"/>
        <v>3.6804085598868642E-2</v>
      </c>
      <c r="BZ34" s="2">
        <f t="shared" si="18"/>
        <v>5.4003639797569149E-2</v>
      </c>
      <c r="CE34" s="3"/>
      <c r="CF34" s="3"/>
      <c r="CG34" s="3"/>
      <c r="CH34" s="3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1"/>
    </row>
    <row r="35" spans="1:104" x14ac:dyDescent="0.2">
      <c r="A35">
        <v>7274</v>
      </c>
      <c r="B35" s="2">
        <v>85</v>
      </c>
      <c r="C35" s="2" t="s">
        <v>8</v>
      </c>
      <c r="D35" s="2" t="s">
        <v>52</v>
      </c>
      <c r="E35" s="2" t="s">
        <v>51</v>
      </c>
      <c r="F35" s="2" t="s">
        <v>50</v>
      </c>
      <c r="G35" s="2" t="s">
        <v>50</v>
      </c>
      <c r="H35" s="2">
        <v>2</v>
      </c>
      <c r="I35" s="2" t="s">
        <v>49</v>
      </c>
      <c r="J35" s="2">
        <v>769.56263999999999</v>
      </c>
      <c r="K35" s="2">
        <v>769.56259999999997</v>
      </c>
      <c r="L35" s="2">
        <v>768.55426660000001</v>
      </c>
      <c r="M35" s="2">
        <v>5.984</v>
      </c>
      <c r="N35" s="2">
        <v>5.98</v>
      </c>
      <c r="O35" s="2">
        <v>1.1893396976929198</v>
      </c>
      <c r="P35" s="5" t="s">
        <v>3</v>
      </c>
      <c r="Q35" s="2">
        <v>5.0279999999999996</v>
      </c>
      <c r="R35" s="2">
        <v>1</v>
      </c>
      <c r="S35" s="2" t="s">
        <v>2</v>
      </c>
      <c r="T35" s="2" t="s">
        <v>1</v>
      </c>
      <c r="AC35" s="2">
        <f t="shared" si="17"/>
        <v>6.2828702437900619E-2</v>
      </c>
      <c r="AD35" s="2">
        <f t="shared" si="18"/>
        <v>8.7002491364454621E-2</v>
      </c>
      <c r="AE35" s="2">
        <f t="shared" si="18"/>
        <v>7.3351581756684187E-2</v>
      </c>
      <c r="AF35" s="2">
        <f t="shared" si="18"/>
        <v>6.4896254023898883E-2</v>
      </c>
      <c r="AG35" s="2">
        <f t="shared" si="18"/>
        <v>6.134091182545115E-2</v>
      </c>
      <c r="AH35" s="2">
        <f t="shared" si="18"/>
        <v>6.794229533734103E-2</v>
      </c>
      <c r="AI35" s="2">
        <f t="shared" si="18"/>
        <v>6.3580956058108026E-2</v>
      </c>
      <c r="AJ35" s="2">
        <f t="shared" si="18"/>
        <v>6.9742920869167946E-2</v>
      </c>
      <c r="AK35" s="2">
        <f t="shared" si="18"/>
        <v>7.4380193691382421E-2</v>
      </c>
      <c r="AL35" s="2">
        <f t="shared" si="18"/>
        <v>6.1236691093084113E-2</v>
      </c>
      <c r="AM35" s="2">
        <f t="shared" si="18"/>
        <v>0.1058155252420588</v>
      </c>
      <c r="AN35" s="2">
        <f t="shared" si="18"/>
        <v>5.3997200912650277E-2</v>
      </c>
      <c r="AO35" s="2">
        <f t="shared" si="18"/>
        <v>6.5866168524255114E-2</v>
      </c>
      <c r="AP35" s="2">
        <f t="shared" si="18"/>
        <v>8.8693220357448574E-2</v>
      </c>
      <c r="AQ35" s="2">
        <f t="shared" si="18"/>
        <v>7.3255058331160083E-2</v>
      </c>
      <c r="AR35" s="2">
        <f t="shared" si="18"/>
        <v>0.10086565825380106</v>
      </c>
      <c r="AS35" s="2">
        <f t="shared" si="18"/>
        <v>9.9732030235484562E-2</v>
      </c>
      <c r="AT35" s="2">
        <f t="shared" si="18"/>
        <v>5.6232863149139896E-2</v>
      </c>
      <c r="AU35" s="2">
        <f t="shared" si="18"/>
        <v>0.10479417845506843</v>
      </c>
      <c r="AV35" s="2">
        <f t="shared" si="18"/>
        <v>7.4184601043431886E-2</v>
      </c>
      <c r="AW35" s="2">
        <f t="shared" si="18"/>
        <v>0.10195419474253231</v>
      </c>
      <c r="AX35" s="2">
        <f t="shared" si="18"/>
        <v>8.210436051353269E-2</v>
      </c>
      <c r="AY35" s="2">
        <f t="shared" si="18"/>
        <v>0.10271453640910491</v>
      </c>
      <c r="AZ35" s="2">
        <f t="shared" si="18"/>
        <v>7.6525129948463014E-2</v>
      </c>
      <c r="BA35" s="2">
        <f t="shared" si="18"/>
        <v>8.6470020376999537E-2</v>
      </c>
      <c r="BB35" s="2">
        <f t="shared" si="18"/>
        <v>8.4681254323679414E-2</v>
      </c>
      <c r="BC35" s="2">
        <f t="shared" si="18"/>
        <v>5.3720364642980106E-2</v>
      </c>
      <c r="BD35" s="2">
        <f t="shared" si="18"/>
        <v>6.6282273820264359E-2</v>
      </c>
      <c r="BE35" s="2">
        <f t="shared" si="18"/>
        <v>9.7173495721480679E-2</v>
      </c>
      <c r="BF35" s="2">
        <f t="shared" si="18"/>
        <v>4.3567257218178605E-2</v>
      </c>
      <c r="BG35" s="2">
        <f t="shared" si="18"/>
        <v>6.3752426960985986E-2</v>
      </c>
      <c r="BH35" s="2">
        <f t="shared" si="18"/>
        <v>6.5810227792776899E-2</v>
      </c>
      <c r="BI35" s="2">
        <f t="shared" si="18"/>
        <v>5.293808499855332E-2</v>
      </c>
      <c r="BJ35" s="2">
        <f t="shared" si="18"/>
        <v>4.4064165549311411E-2</v>
      </c>
      <c r="BK35" s="2">
        <f t="shared" si="18"/>
        <v>6.3436197263439048E-2</v>
      </c>
      <c r="BL35" s="2">
        <f t="shared" si="18"/>
        <v>5.0073609072930361E-2</v>
      </c>
      <c r="BM35" s="2">
        <f t="shared" si="18"/>
        <v>5.5700825305938007E-2</v>
      </c>
      <c r="BN35" s="2">
        <f t="shared" si="18"/>
        <v>6.1712424795952028E-2</v>
      </c>
      <c r="BO35" s="2">
        <f t="shared" si="18"/>
        <v>5.5846461388457495E-2</v>
      </c>
      <c r="BP35" s="2">
        <f t="shared" si="18"/>
        <v>7.2984452753100185E-2</v>
      </c>
      <c r="BQ35" s="2">
        <f t="shared" si="18"/>
        <v>6.7360107758320215E-2</v>
      </c>
      <c r="BR35" s="2">
        <f t="shared" si="18"/>
        <v>7.4658765064060079E-2</v>
      </c>
      <c r="BS35" s="2">
        <f t="shared" si="18"/>
        <v>7.5251693573310616E-2</v>
      </c>
      <c r="BT35" s="2">
        <f t="shared" si="18"/>
        <v>7.4957190809955485E-2</v>
      </c>
      <c r="BU35" s="2">
        <f t="shared" si="18"/>
        <v>0.11849020941759947</v>
      </c>
      <c r="BV35" s="2">
        <f t="shared" si="18"/>
        <v>8.0406538168532882E-2</v>
      </c>
      <c r="BW35" s="2">
        <f t="shared" si="18"/>
        <v>9.294355872810954E-2</v>
      </c>
      <c r="BX35" s="2">
        <f t="shared" si="18"/>
        <v>5.5400910299672514E-2</v>
      </c>
      <c r="BY35" s="2">
        <f t="shared" si="18"/>
        <v>7.4038548799332249E-2</v>
      </c>
      <c r="BZ35" s="2">
        <f t="shared" si="18"/>
        <v>9.7055964318068288E-2</v>
      </c>
      <c r="CE35" s="3"/>
      <c r="CF35" s="3"/>
      <c r="CG35" s="3"/>
      <c r="CH35" s="3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1"/>
    </row>
    <row r="36" spans="1:104" x14ac:dyDescent="0.2">
      <c r="A36">
        <v>7273</v>
      </c>
      <c r="B36" s="2">
        <v>82</v>
      </c>
      <c r="C36" s="2" t="s">
        <v>8</v>
      </c>
      <c r="D36" s="2" t="s">
        <v>48</v>
      </c>
      <c r="E36" s="2" t="s">
        <v>47</v>
      </c>
      <c r="F36" s="2" t="s">
        <v>46</v>
      </c>
      <c r="G36" s="2" t="s">
        <v>46</v>
      </c>
      <c r="H36" s="2">
        <v>2</v>
      </c>
      <c r="I36" s="2" t="s">
        <v>45</v>
      </c>
      <c r="J36" s="2">
        <v>767.54795000000001</v>
      </c>
      <c r="K36" s="2">
        <v>767.548</v>
      </c>
      <c r="L36" s="2">
        <v>766.53957660000003</v>
      </c>
      <c r="M36" s="2">
        <v>5.6050000000000004</v>
      </c>
      <c r="N36" s="2">
        <v>5.61</v>
      </c>
      <c r="O36" s="2">
        <v>1.1157517899761338</v>
      </c>
      <c r="P36" s="5" t="s">
        <v>3</v>
      </c>
      <c r="Q36" s="2">
        <v>5.0279999999999996</v>
      </c>
      <c r="R36" s="2">
        <v>2</v>
      </c>
      <c r="S36" s="2" t="s">
        <v>2</v>
      </c>
      <c r="T36" s="2" t="s">
        <v>1</v>
      </c>
      <c r="AC36" s="2">
        <f t="shared" si="17"/>
        <v>3.6950294309617528</v>
      </c>
      <c r="AD36" s="2">
        <f t="shared" si="18"/>
        <v>4.5093299162744929</v>
      </c>
      <c r="AE36" s="2">
        <f t="shared" si="18"/>
        <v>3.746603439720614</v>
      </c>
      <c r="AF36" s="2">
        <f t="shared" si="18"/>
        <v>3.8238114005651433</v>
      </c>
      <c r="AG36" s="2">
        <f t="shared" si="18"/>
        <v>3.5929904797290435</v>
      </c>
      <c r="AH36" s="2">
        <f t="shared" si="18"/>
        <v>4.8902114919064141</v>
      </c>
      <c r="AI36" s="2">
        <f t="shared" si="18"/>
        <v>3.6570977533320033</v>
      </c>
      <c r="AJ36" s="2">
        <f t="shared" si="18"/>
        <v>4.9243662318068884</v>
      </c>
      <c r="AK36" s="2">
        <f t="shared" si="18"/>
        <v>4.9935521462338812</v>
      </c>
      <c r="AL36" s="2">
        <f t="shared" si="18"/>
        <v>4.1198226995122287</v>
      </c>
      <c r="AM36" s="2">
        <f t="shared" si="18"/>
        <v>6.2173977829136069</v>
      </c>
      <c r="AN36" s="2">
        <f t="shared" si="18"/>
        <v>3.8804724751557735</v>
      </c>
      <c r="AO36" s="2">
        <f t="shared" si="18"/>
        <v>4.4426656858820213</v>
      </c>
      <c r="AP36" s="2">
        <f t="shared" si="18"/>
        <v>5.422636326755617</v>
      </c>
      <c r="AQ36" s="2">
        <f t="shared" si="18"/>
        <v>5.0499533700361638</v>
      </c>
      <c r="AR36" s="2">
        <f t="shared" si="18"/>
        <v>6.0481560848967577</v>
      </c>
      <c r="AS36" s="2">
        <f t="shared" si="18"/>
        <v>5.7214622799288213</v>
      </c>
      <c r="AT36" s="2">
        <f t="shared" si="18"/>
        <v>3.7657123963325976</v>
      </c>
      <c r="AU36" s="2">
        <f t="shared" si="18"/>
        <v>5.4634407409001531</v>
      </c>
      <c r="AV36" s="2">
        <f t="shared" si="18"/>
        <v>4.3008881829727512</v>
      </c>
      <c r="AW36" s="2">
        <f t="shared" si="18"/>
        <v>5.1035895995568605</v>
      </c>
      <c r="AX36" s="2">
        <f t="shared" si="18"/>
        <v>4.7132838504876569</v>
      </c>
      <c r="AY36" s="2">
        <f t="shared" si="18"/>
        <v>4.8192984010235485</v>
      </c>
      <c r="AZ36" s="2">
        <f t="shared" si="18"/>
        <v>4.9045507984709698</v>
      </c>
      <c r="BA36" s="2">
        <f t="shared" si="18"/>
        <v>5.3320450824993504</v>
      </c>
      <c r="BB36" s="2">
        <f t="shared" si="18"/>
        <v>6.0387174562019812</v>
      </c>
      <c r="BC36" s="2">
        <f t="shared" si="18"/>
        <v>5.9026155555649149</v>
      </c>
      <c r="BD36" s="2">
        <f t="shared" si="18"/>
        <v>6.1046654933934725</v>
      </c>
      <c r="BE36" s="2">
        <f t="shared" si="18"/>
        <v>6.5162888592827874</v>
      </c>
      <c r="BF36" s="2">
        <f t="shared" si="18"/>
        <v>4.7382727167199095</v>
      </c>
      <c r="BG36" s="2">
        <f t="shared" si="18"/>
        <v>4.7935121717652995</v>
      </c>
      <c r="BH36" s="2">
        <f t="shared" si="18"/>
        <v>5.6177431717946771</v>
      </c>
      <c r="BI36" s="2">
        <f t="shared" si="18"/>
        <v>4.050876112181296</v>
      </c>
      <c r="BJ36" s="2">
        <f t="shared" si="18"/>
        <v>5.8609733009342504</v>
      </c>
      <c r="BK36" s="2">
        <f t="shared" si="18"/>
        <v>4.3206888486364488</v>
      </c>
      <c r="BL36" s="2">
        <f t="shared" si="18"/>
        <v>4.9654398955163588</v>
      </c>
      <c r="BM36" s="2">
        <f t="shared" ref="AD36:BZ41" si="19">(BM13/BM$2)*0.059213</f>
        <v>5.3202091436221979</v>
      </c>
      <c r="BN36" s="2">
        <f t="shared" si="19"/>
        <v>4.7646486713980716</v>
      </c>
      <c r="BO36" s="2">
        <f t="shared" si="19"/>
        <v>4.894593533952154</v>
      </c>
      <c r="BP36" s="2">
        <f t="shared" si="19"/>
        <v>6.1590065478885672</v>
      </c>
      <c r="BQ36" s="2">
        <f t="shared" si="19"/>
        <v>5.6601775365453308</v>
      </c>
      <c r="BR36" s="2">
        <f t="shared" si="19"/>
        <v>5.4827716477061088</v>
      </c>
      <c r="BS36" s="2">
        <f t="shared" si="19"/>
        <v>5.9274016050497167</v>
      </c>
      <c r="BT36" s="2">
        <f t="shared" si="19"/>
        <v>4.7521383395195196</v>
      </c>
      <c r="BU36" s="2">
        <f t="shared" si="19"/>
        <v>6.9893957650642982</v>
      </c>
      <c r="BV36" s="2">
        <f t="shared" si="19"/>
        <v>5.7399775597048874</v>
      </c>
      <c r="BW36" s="2">
        <f t="shared" si="19"/>
        <v>5.9806410557047895</v>
      </c>
      <c r="BX36" s="2">
        <f t="shared" si="19"/>
        <v>5.3000421861057054</v>
      </c>
      <c r="BY36" s="2">
        <f t="shared" si="19"/>
        <v>4.7984580697169159</v>
      </c>
      <c r="BZ36" s="2">
        <f t="shared" si="19"/>
        <v>6.9072352584676944</v>
      </c>
      <c r="CE36" s="3"/>
      <c r="CF36" s="3"/>
      <c r="CG36" s="3"/>
      <c r="CH36" s="3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1"/>
    </row>
    <row r="37" spans="1:104" x14ac:dyDescent="0.2">
      <c r="A37">
        <v>7272</v>
      </c>
      <c r="B37" s="2">
        <v>81</v>
      </c>
      <c r="C37" s="2" t="s">
        <v>8</v>
      </c>
      <c r="D37" s="2" t="s">
        <v>44</v>
      </c>
      <c r="E37" s="2" t="s">
        <v>43</v>
      </c>
      <c r="F37" s="2" t="s">
        <v>42</v>
      </c>
      <c r="G37" s="2" t="s">
        <v>42</v>
      </c>
      <c r="H37" s="2">
        <v>2</v>
      </c>
      <c r="I37" s="2" t="s">
        <v>38</v>
      </c>
      <c r="J37" s="2">
        <v>765.53137000000004</v>
      </c>
      <c r="K37" s="2">
        <v>765.53139999999996</v>
      </c>
      <c r="L37" s="2">
        <v>764.52299660000006</v>
      </c>
      <c r="M37" s="2">
        <v>4.7359999999999998</v>
      </c>
      <c r="N37" s="2">
        <v>4.74</v>
      </c>
      <c r="O37" s="2">
        <v>0.9427207637231505</v>
      </c>
      <c r="P37" s="5" t="s">
        <v>3</v>
      </c>
      <c r="Q37" s="2">
        <v>5.0279999999999996</v>
      </c>
      <c r="R37" s="2">
        <v>1</v>
      </c>
      <c r="S37" s="2" t="s">
        <v>2</v>
      </c>
      <c r="T37" s="2" t="s">
        <v>1</v>
      </c>
      <c r="AC37" s="2">
        <f t="shared" si="17"/>
        <v>0.32175066933772406</v>
      </c>
      <c r="AD37" s="2">
        <f t="shared" si="19"/>
        <v>0.41019587248969758</v>
      </c>
      <c r="AE37" s="2">
        <f t="shared" si="19"/>
        <v>0.36097007742902082</v>
      </c>
      <c r="AF37" s="2">
        <f t="shared" si="19"/>
        <v>0.34494875052438606</v>
      </c>
      <c r="AG37" s="2">
        <f t="shared" si="19"/>
        <v>0.31435424492105501</v>
      </c>
      <c r="AH37" s="2">
        <f t="shared" si="19"/>
        <v>0.41064468949209226</v>
      </c>
      <c r="AI37" s="2">
        <f t="shared" si="19"/>
        <v>0.37148615633999837</v>
      </c>
      <c r="AJ37" s="2">
        <f t="shared" si="19"/>
        <v>0.39466322249756525</v>
      </c>
      <c r="AK37" s="2">
        <f t="shared" si="19"/>
        <v>0.42863902237157286</v>
      </c>
      <c r="AL37" s="2">
        <f t="shared" si="19"/>
        <v>0.35209645798654648</v>
      </c>
      <c r="AM37" s="2">
        <f t="shared" si="19"/>
        <v>0.60705419995825893</v>
      </c>
      <c r="AN37" s="2">
        <f t="shared" si="19"/>
        <v>0.29777612387209268</v>
      </c>
      <c r="AO37" s="2">
        <f t="shared" si="19"/>
        <v>0.36300364937090968</v>
      </c>
      <c r="AP37" s="2">
        <f t="shared" si="19"/>
        <v>0.43532791657885478</v>
      </c>
      <c r="AQ37" s="2">
        <f t="shared" si="19"/>
        <v>0.41217090587212335</v>
      </c>
      <c r="AR37" s="2">
        <f t="shared" si="19"/>
        <v>0.50107786936031828</v>
      </c>
      <c r="AS37" s="2">
        <f t="shared" si="19"/>
        <v>0.53705860935611394</v>
      </c>
      <c r="AT37" s="2">
        <f t="shared" si="19"/>
        <v>0.34673404902511712</v>
      </c>
      <c r="AU37" s="2">
        <f t="shared" si="19"/>
        <v>0.48816838399736362</v>
      </c>
      <c r="AV37" s="2">
        <f t="shared" si="19"/>
        <v>0.38962018139233895</v>
      </c>
      <c r="AW37" s="2">
        <f t="shared" si="19"/>
        <v>0.51009381452836178</v>
      </c>
      <c r="AX37" s="2">
        <f t="shared" si="19"/>
        <v>0.38479381097707538</v>
      </c>
      <c r="AY37" s="2">
        <f t="shared" si="19"/>
        <v>0.4690343428915188</v>
      </c>
      <c r="AZ37" s="2">
        <f t="shared" si="19"/>
        <v>0.44101019910185585</v>
      </c>
      <c r="BA37" s="2">
        <f t="shared" si="19"/>
        <v>0.4998960095264367</v>
      </c>
      <c r="BB37" s="2">
        <f t="shared" si="19"/>
        <v>0.46306625087030567</v>
      </c>
      <c r="BC37" s="2">
        <f t="shared" si="19"/>
        <v>0.44901824901260817</v>
      </c>
      <c r="BD37" s="2">
        <f t="shared" si="19"/>
        <v>0.47710395372400416</v>
      </c>
      <c r="BE37" s="2">
        <f t="shared" si="19"/>
        <v>0.5098993687629525</v>
      </c>
      <c r="BF37" s="2">
        <f t="shared" si="19"/>
        <v>0.42024634217968287</v>
      </c>
      <c r="BG37" s="2">
        <f t="shared" si="19"/>
        <v>0.37591329730431478</v>
      </c>
      <c r="BH37" s="2">
        <f t="shared" si="19"/>
        <v>0.45592012420439743</v>
      </c>
      <c r="BI37" s="2">
        <f t="shared" si="19"/>
        <v>0.34285452664876009</v>
      </c>
      <c r="BJ37" s="2">
        <f t="shared" si="19"/>
        <v>0.47939543758269715</v>
      </c>
      <c r="BK37" s="2">
        <f t="shared" si="19"/>
        <v>0.3431346540669083</v>
      </c>
      <c r="BL37" s="2">
        <f t="shared" si="19"/>
        <v>0.42450967970886233</v>
      </c>
      <c r="BM37" s="2">
        <f t="shared" si="19"/>
        <v>0.44265134469718997</v>
      </c>
      <c r="BN37" s="2">
        <f t="shared" si="19"/>
        <v>0.40631650574311939</v>
      </c>
      <c r="BO37" s="2">
        <f t="shared" si="19"/>
        <v>0.363869104618743</v>
      </c>
      <c r="BP37" s="2">
        <f t="shared" si="19"/>
        <v>0.50529886402297419</v>
      </c>
      <c r="BQ37" s="2">
        <f t="shared" si="19"/>
        <v>0.608867392714322</v>
      </c>
      <c r="BR37" s="2">
        <f t="shared" si="19"/>
        <v>0.47543391285345815</v>
      </c>
      <c r="BS37" s="2">
        <f t="shared" si="19"/>
        <v>0.48789886940585381</v>
      </c>
      <c r="BT37" s="2">
        <f t="shared" si="19"/>
        <v>0.48055666829523963</v>
      </c>
      <c r="BU37" s="2">
        <f t="shared" si="19"/>
        <v>0.63128743978766211</v>
      </c>
      <c r="BV37" s="2">
        <f t="shared" si="19"/>
        <v>0.50746195548572737</v>
      </c>
      <c r="BW37" s="2">
        <f t="shared" si="19"/>
        <v>0.48134142019674864</v>
      </c>
      <c r="BX37" s="2">
        <f t="shared" si="19"/>
        <v>0.45481339869836412</v>
      </c>
      <c r="BY37" s="2">
        <f t="shared" si="19"/>
        <v>0.40497091602958829</v>
      </c>
      <c r="BZ37" s="2">
        <f t="shared" si="19"/>
        <v>0.52456000510575918</v>
      </c>
      <c r="CE37" s="3"/>
      <c r="CF37" s="3"/>
      <c r="CG37" s="3"/>
      <c r="CH37" s="3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1"/>
    </row>
    <row r="38" spans="1:104" x14ac:dyDescent="0.2">
      <c r="A38">
        <v>7271</v>
      </c>
      <c r="B38" s="2">
        <v>80</v>
      </c>
      <c r="C38" s="2" t="s">
        <v>8</v>
      </c>
      <c r="D38" s="2" t="s">
        <v>41</v>
      </c>
      <c r="E38" s="2" t="s">
        <v>40</v>
      </c>
      <c r="F38" s="2" t="s">
        <v>39</v>
      </c>
      <c r="G38" s="2" t="s">
        <v>39</v>
      </c>
      <c r="H38" s="2">
        <v>2</v>
      </c>
      <c r="I38" s="2" t="s">
        <v>38</v>
      </c>
      <c r="J38" s="2">
        <v>765.53137000000004</v>
      </c>
      <c r="K38" s="2">
        <v>765.53139999999996</v>
      </c>
      <c r="L38" s="2">
        <v>764.52299660000006</v>
      </c>
      <c r="M38" s="2">
        <v>5.0250000000000004</v>
      </c>
      <c r="N38" s="2">
        <v>5.03</v>
      </c>
      <c r="O38" s="2">
        <v>1.0003977724741449</v>
      </c>
      <c r="P38" s="5" t="s">
        <v>3</v>
      </c>
      <c r="Q38" s="2">
        <v>5.0279999999999996</v>
      </c>
      <c r="R38" s="2">
        <v>1</v>
      </c>
      <c r="S38" s="2" t="s">
        <v>2</v>
      </c>
      <c r="T38" s="2" t="s">
        <v>1</v>
      </c>
      <c r="AC38" s="2">
        <f t="shared" si="17"/>
        <v>0.14587486471160963</v>
      </c>
      <c r="AD38" s="2">
        <f t="shared" si="19"/>
        <v>0.20299458617754568</v>
      </c>
      <c r="AE38" s="2">
        <f t="shared" si="19"/>
        <v>0.1580848947072</v>
      </c>
      <c r="AF38" s="2">
        <f t="shared" si="19"/>
        <v>0.15429019076370556</v>
      </c>
      <c r="AG38" s="2">
        <f t="shared" si="19"/>
        <v>0.15344831708631576</v>
      </c>
      <c r="AH38" s="2">
        <f t="shared" si="19"/>
        <v>0.22328385790893326</v>
      </c>
      <c r="AI38" s="2">
        <f t="shared" si="19"/>
        <v>0.16400732941779297</v>
      </c>
      <c r="AJ38" s="2">
        <f t="shared" si="19"/>
        <v>0.20091750232123512</v>
      </c>
      <c r="AK38" s="2">
        <f t="shared" si="19"/>
        <v>0.19812711450938109</v>
      </c>
      <c r="AL38" s="2">
        <f t="shared" si="19"/>
        <v>0.17979665762999852</v>
      </c>
      <c r="AM38" s="2">
        <f t="shared" si="19"/>
        <v>0.25057829990893765</v>
      </c>
      <c r="AN38" s="2">
        <f t="shared" si="19"/>
        <v>0.14020926753224547</v>
      </c>
      <c r="AO38" s="2">
        <f t="shared" si="19"/>
        <v>0.18101898318544285</v>
      </c>
      <c r="AP38" s="2">
        <f t="shared" si="19"/>
        <v>0.22250393239251232</v>
      </c>
      <c r="AQ38" s="2">
        <f t="shared" si="19"/>
        <v>0.20113555500377292</v>
      </c>
      <c r="AR38" s="2">
        <f t="shared" si="19"/>
        <v>0.26082478068638937</v>
      </c>
      <c r="AS38" s="2">
        <f t="shared" si="19"/>
        <v>0.26968206536283479</v>
      </c>
      <c r="AT38" s="2">
        <f t="shared" si="19"/>
        <v>0.14649465295821071</v>
      </c>
      <c r="AU38" s="2">
        <f t="shared" si="19"/>
        <v>0.26279526566338041</v>
      </c>
      <c r="AV38" s="2">
        <f t="shared" si="19"/>
        <v>0.18219521500949593</v>
      </c>
      <c r="AW38" s="2">
        <f t="shared" si="19"/>
        <v>0.2732184668534392</v>
      </c>
      <c r="AX38" s="2">
        <f t="shared" si="19"/>
        <v>0.17634635297760601</v>
      </c>
      <c r="AY38" s="2">
        <f t="shared" si="19"/>
        <v>0.26776548906982939</v>
      </c>
      <c r="AZ38" s="2">
        <f t="shared" si="19"/>
        <v>0.20985704933892663</v>
      </c>
      <c r="BA38" s="2">
        <f t="shared" si="19"/>
        <v>0.23945805926324257</v>
      </c>
      <c r="BB38" s="2">
        <f t="shared" si="19"/>
        <v>0.19697167593664855</v>
      </c>
      <c r="BC38" s="2">
        <f t="shared" si="19"/>
        <v>0.18308225683858065</v>
      </c>
      <c r="BD38" s="2">
        <f t="shared" si="19"/>
        <v>0.19680090111602525</v>
      </c>
      <c r="BE38" s="2">
        <f t="shared" si="19"/>
        <v>0.21613133570818863</v>
      </c>
      <c r="BF38" s="2">
        <f t="shared" si="19"/>
        <v>0.14767203368632459</v>
      </c>
      <c r="BG38" s="2">
        <f t="shared" si="19"/>
        <v>0.14280002557808713</v>
      </c>
      <c r="BH38" s="2">
        <f t="shared" si="19"/>
        <v>0.1523497270273273</v>
      </c>
      <c r="BI38" s="2">
        <f t="shared" si="19"/>
        <v>0.12933353748910964</v>
      </c>
      <c r="BJ38" s="2">
        <f t="shared" si="19"/>
        <v>0.17406210474567016</v>
      </c>
      <c r="BK38" s="2">
        <f t="shared" si="19"/>
        <v>0.12708150939325502</v>
      </c>
      <c r="BL38" s="2">
        <f t="shared" si="19"/>
        <v>0.15331480393546684</v>
      </c>
      <c r="BM38" s="2">
        <f t="shared" si="19"/>
        <v>0.14082111420980534</v>
      </c>
      <c r="BN38" s="2">
        <f t="shared" si="19"/>
        <v>0.14153853570738825</v>
      </c>
      <c r="BO38" s="2">
        <f t="shared" si="19"/>
        <v>0.13551219781110177</v>
      </c>
      <c r="BP38" s="2">
        <f t="shared" si="19"/>
        <v>0.20619263916853786</v>
      </c>
      <c r="BQ38" s="2">
        <f t="shared" si="19"/>
        <v>0.27598054161065427</v>
      </c>
      <c r="BR38" s="2">
        <f t="shared" si="19"/>
        <v>0.26105377790265344</v>
      </c>
      <c r="BS38" s="2">
        <f t="shared" si="19"/>
        <v>0.23395300526955745</v>
      </c>
      <c r="BT38" s="2">
        <f t="shared" si="19"/>
        <v>0.20637375345031539</v>
      </c>
      <c r="BU38" s="2">
        <f t="shared" si="19"/>
        <v>0.29273360901888773</v>
      </c>
      <c r="BV38" s="2">
        <f t="shared" si="19"/>
        <v>0.20162183077049095</v>
      </c>
      <c r="BW38" s="2">
        <f t="shared" si="19"/>
        <v>0.17358696790474529</v>
      </c>
      <c r="BX38" s="2">
        <f t="shared" si="19"/>
        <v>0.16965030646007628</v>
      </c>
      <c r="BY38" s="2">
        <f t="shared" si="19"/>
        <v>0.14538321447925773</v>
      </c>
      <c r="BZ38" s="2">
        <f t="shared" si="19"/>
        <v>0.21613199943241726</v>
      </c>
      <c r="CE38" s="3"/>
      <c r="CF38" s="3"/>
      <c r="CG38" s="3"/>
      <c r="CH38" s="3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1"/>
    </row>
    <row r="39" spans="1:104" x14ac:dyDescent="0.2">
      <c r="A39">
        <v>7270</v>
      </c>
      <c r="B39" s="2">
        <v>79</v>
      </c>
      <c r="C39" s="2" t="s">
        <v>8</v>
      </c>
      <c r="D39" s="2" t="s">
        <v>37</v>
      </c>
      <c r="E39" s="2" t="s">
        <v>36</v>
      </c>
      <c r="F39" s="2" t="s">
        <v>35</v>
      </c>
      <c r="G39" s="2" t="s">
        <v>35</v>
      </c>
      <c r="H39" s="2">
        <v>2</v>
      </c>
      <c r="I39" s="2" t="s">
        <v>31</v>
      </c>
      <c r="J39" s="2">
        <v>763.51553000000001</v>
      </c>
      <c r="K39" s="2">
        <v>763.51549999999997</v>
      </c>
      <c r="L39" s="2">
        <v>762.50715660000003</v>
      </c>
      <c r="M39" s="2">
        <v>4.492</v>
      </c>
      <c r="N39" s="2">
        <v>4.49</v>
      </c>
      <c r="O39" s="2">
        <v>0.89299920445505188</v>
      </c>
      <c r="P39" s="5" t="s">
        <v>3</v>
      </c>
      <c r="Q39" s="2">
        <v>5.0279999999999996</v>
      </c>
      <c r="R39" s="2">
        <v>1</v>
      </c>
      <c r="S39" s="2" t="s">
        <v>2</v>
      </c>
      <c r="T39" s="2" t="s">
        <v>1</v>
      </c>
      <c r="AC39" s="2">
        <f t="shared" si="17"/>
        <v>1.7260175476111612</v>
      </c>
      <c r="AD39" s="2">
        <f t="shared" si="19"/>
        <v>2.4178242292658139</v>
      </c>
      <c r="AE39" s="2">
        <f t="shared" si="19"/>
        <v>1.9379526839610206</v>
      </c>
      <c r="AF39" s="2">
        <f t="shared" si="19"/>
        <v>1.8996912026426787</v>
      </c>
      <c r="AG39" s="2">
        <f t="shared" si="19"/>
        <v>1.763704635102892</v>
      </c>
      <c r="AH39" s="2">
        <f t="shared" si="19"/>
        <v>2.3385810624496393</v>
      </c>
      <c r="AI39" s="2">
        <f t="shared" si="19"/>
        <v>1.8534784120185019</v>
      </c>
      <c r="AJ39" s="2">
        <f t="shared" si="19"/>
        <v>2.1221711936816403</v>
      </c>
      <c r="AK39" s="2">
        <f t="shared" si="19"/>
        <v>2.0949817722482109</v>
      </c>
      <c r="AL39" s="2">
        <f t="shared" si="19"/>
        <v>2.1137547543726227</v>
      </c>
      <c r="AM39" s="2">
        <f t="shared" si="19"/>
        <v>2.4729330499928204</v>
      </c>
      <c r="AN39" s="2">
        <f t="shared" si="19"/>
        <v>1.509948230439256</v>
      </c>
      <c r="AO39" s="2">
        <f t="shared" si="19"/>
        <v>1.9123594702065685</v>
      </c>
      <c r="AP39" s="2">
        <f t="shared" si="19"/>
        <v>2.2308035860514499</v>
      </c>
      <c r="AQ39" s="2">
        <f t="shared" si="19"/>
        <v>1.9865052267860417</v>
      </c>
      <c r="AR39" s="2">
        <f t="shared" si="19"/>
        <v>2.4546511287706472</v>
      </c>
      <c r="AS39" s="2">
        <f t="shared" si="19"/>
        <v>2.7883432166875544</v>
      </c>
      <c r="AT39" s="2">
        <f t="shared" si="19"/>
        <v>1.3172747660012363</v>
      </c>
      <c r="AU39" s="2">
        <f t="shared" si="19"/>
        <v>2.4693705063553661</v>
      </c>
      <c r="AV39" s="2">
        <f t="shared" si="19"/>
        <v>1.9792433151409397</v>
      </c>
      <c r="AW39" s="2">
        <f t="shared" si="19"/>
        <v>2.6907408185063142</v>
      </c>
      <c r="AX39" s="2">
        <f t="shared" si="19"/>
        <v>2.0747095574154026</v>
      </c>
      <c r="AY39" s="2">
        <f t="shared" si="19"/>
        <v>2.4591343311066569</v>
      </c>
      <c r="AZ39" s="2">
        <f t="shared" si="19"/>
        <v>2.4957672706688694</v>
      </c>
      <c r="BA39" s="2">
        <f t="shared" si="19"/>
        <v>2.3692588057199955</v>
      </c>
      <c r="BB39" s="2">
        <f t="shared" si="19"/>
        <v>2.1502200601962373</v>
      </c>
      <c r="BC39" s="2">
        <f t="shared" si="19"/>
        <v>1.8456822225341589</v>
      </c>
      <c r="BD39" s="2">
        <f t="shared" si="19"/>
        <v>2.4610350178775864</v>
      </c>
      <c r="BE39" s="2">
        <f t="shared" si="19"/>
        <v>2.5451835112450154</v>
      </c>
      <c r="BF39" s="2">
        <f t="shared" si="19"/>
        <v>2.0357356877540482</v>
      </c>
      <c r="BG39" s="2">
        <f t="shared" si="19"/>
        <v>1.6327352667821666</v>
      </c>
      <c r="BH39" s="2">
        <f t="shared" si="19"/>
        <v>2.0357264155321388</v>
      </c>
      <c r="BI39" s="2">
        <f t="shared" si="19"/>
        <v>1.6662223334227519</v>
      </c>
      <c r="BJ39" s="2">
        <f t="shared" si="19"/>
        <v>2.2358870642227515</v>
      </c>
      <c r="BK39" s="2">
        <f t="shared" si="19"/>
        <v>1.6027154399646879</v>
      </c>
      <c r="BL39" s="2">
        <f t="shared" si="19"/>
        <v>1.8697543466264812</v>
      </c>
      <c r="BM39" s="2">
        <f t="shared" si="19"/>
        <v>1.8608872516766255</v>
      </c>
      <c r="BN39" s="2">
        <f t="shared" si="19"/>
        <v>1.8531510445410793</v>
      </c>
      <c r="BO39" s="2">
        <f t="shared" si="19"/>
        <v>1.4932725577632135</v>
      </c>
      <c r="BP39" s="2">
        <f t="shared" si="19"/>
        <v>2.4213144093450496</v>
      </c>
      <c r="BQ39" s="2">
        <f t="shared" si="19"/>
        <v>3.0615101227730488</v>
      </c>
      <c r="BR39" s="2">
        <f t="shared" si="19"/>
        <v>2.13705913076639</v>
      </c>
      <c r="BS39" s="2">
        <f t="shared" si="19"/>
        <v>1.9212818545901447</v>
      </c>
      <c r="BT39" s="2">
        <f t="shared" si="19"/>
        <v>2.3888056725158107</v>
      </c>
      <c r="BU39" s="2">
        <f t="shared" si="19"/>
        <v>2.7810368963889722</v>
      </c>
      <c r="BV39" s="2">
        <f t="shared" si="19"/>
        <v>2.1818262631629621</v>
      </c>
      <c r="BW39" s="2">
        <f t="shared" si="19"/>
        <v>2.058879688722322</v>
      </c>
      <c r="BX39" s="2">
        <f t="shared" si="19"/>
        <v>1.9282166712331776</v>
      </c>
      <c r="BY39" s="2">
        <f t="shared" si="19"/>
        <v>1.5912613042664985</v>
      </c>
      <c r="BZ39" s="2">
        <f t="shared" si="19"/>
        <v>2.560348791224929</v>
      </c>
      <c r="CE39" s="3"/>
      <c r="CF39" s="3"/>
      <c r="CG39" s="3"/>
      <c r="CH39" s="3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1"/>
    </row>
    <row r="40" spans="1:104" x14ac:dyDescent="0.2">
      <c r="A40">
        <v>7269</v>
      </c>
      <c r="B40" s="2">
        <v>77</v>
      </c>
      <c r="C40" s="2" t="s">
        <v>8</v>
      </c>
      <c r="D40" s="2" t="s">
        <v>34</v>
      </c>
      <c r="E40" s="2" t="s">
        <v>33</v>
      </c>
      <c r="F40" s="2" t="s">
        <v>32</v>
      </c>
      <c r="G40" s="2" t="s">
        <v>32</v>
      </c>
      <c r="H40" s="2">
        <v>2</v>
      </c>
      <c r="I40" s="2" t="s">
        <v>31</v>
      </c>
      <c r="J40" s="2">
        <v>763.51552000000004</v>
      </c>
      <c r="K40" s="2">
        <v>763.51549999999997</v>
      </c>
      <c r="L40" s="2">
        <v>762.50714660000006</v>
      </c>
      <c r="M40" s="2">
        <v>4.1539999999999999</v>
      </c>
      <c r="N40" s="2">
        <v>4.1500000000000004</v>
      </c>
      <c r="O40" s="2">
        <v>0.82537788385043764</v>
      </c>
      <c r="P40" s="5" t="s">
        <v>3</v>
      </c>
      <c r="Q40" s="2">
        <v>5.0279999999999996</v>
      </c>
      <c r="R40" s="2">
        <v>1</v>
      </c>
      <c r="S40" s="2" t="s">
        <v>2</v>
      </c>
      <c r="T40" s="2" t="s">
        <v>1</v>
      </c>
      <c r="AC40" s="2">
        <f t="shared" si="17"/>
        <v>0.1087369074557842</v>
      </c>
      <c r="AD40" s="2">
        <f t="shared" si="19"/>
        <v>0.14617475514342879</v>
      </c>
      <c r="AE40" s="2">
        <f t="shared" si="19"/>
        <v>0.12672060509489946</v>
      </c>
      <c r="AF40" s="2">
        <f t="shared" si="19"/>
        <v>0.11551467709073782</v>
      </c>
      <c r="AG40" s="2">
        <f t="shared" si="19"/>
        <v>9.9681764246734861E-2</v>
      </c>
      <c r="AH40" s="2">
        <f t="shared" si="19"/>
        <v>0.13939077602440705</v>
      </c>
      <c r="AI40" s="2">
        <f t="shared" si="19"/>
        <v>0.12580709992400704</v>
      </c>
      <c r="AJ40" s="2">
        <f t="shared" si="19"/>
        <v>0.15097071503443754</v>
      </c>
      <c r="AK40" s="2">
        <f t="shared" si="19"/>
        <v>0.15675842090945027</v>
      </c>
      <c r="AL40" s="2">
        <f t="shared" si="19"/>
        <v>0.11607863342609186</v>
      </c>
      <c r="AM40" s="2">
        <f t="shared" si="19"/>
        <v>0.20991487950795448</v>
      </c>
      <c r="AN40" s="2">
        <f t="shared" si="19"/>
        <v>0.11530378671361927</v>
      </c>
      <c r="AO40" s="2">
        <f t="shared" si="19"/>
        <v>0.12807030267914724</v>
      </c>
      <c r="AP40" s="2">
        <f t="shared" si="19"/>
        <v>0.14803159069734423</v>
      </c>
      <c r="AQ40" s="2">
        <f t="shared" si="19"/>
        <v>0.16120209243286998</v>
      </c>
      <c r="AR40" s="2">
        <f t="shared" si="19"/>
        <v>0.18802724964349252</v>
      </c>
      <c r="AS40" s="2">
        <f t="shared" si="19"/>
        <v>0.19620638614998179</v>
      </c>
      <c r="AT40" s="2">
        <f t="shared" si="19"/>
        <v>0.12446567979189897</v>
      </c>
      <c r="AU40" s="2">
        <f t="shared" si="19"/>
        <v>0.19971958589055985</v>
      </c>
      <c r="AV40" s="2">
        <f t="shared" si="19"/>
        <v>0.13218025330606867</v>
      </c>
      <c r="AW40" s="2">
        <f t="shared" si="19"/>
        <v>0.18644087206729143</v>
      </c>
      <c r="AX40" s="2">
        <f t="shared" si="19"/>
        <v>0.15375889948437318</v>
      </c>
      <c r="AY40" s="2">
        <f t="shared" si="19"/>
        <v>0.17037704384177207</v>
      </c>
      <c r="AZ40" s="2">
        <f t="shared" si="19"/>
        <v>0.14648290546870615</v>
      </c>
      <c r="BA40" s="2">
        <f t="shared" si="19"/>
        <v>0.19181711767369439</v>
      </c>
      <c r="BB40" s="2">
        <f t="shared" si="19"/>
        <v>0.18450848451563284</v>
      </c>
      <c r="BC40" s="2">
        <f t="shared" si="19"/>
        <v>0.21174210079639358</v>
      </c>
      <c r="BD40" s="2">
        <f t="shared" si="19"/>
        <v>0.19087430666478217</v>
      </c>
      <c r="BE40" s="2">
        <f t="shared" si="19"/>
        <v>0.19653124845688077</v>
      </c>
      <c r="BF40" s="2">
        <f t="shared" si="19"/>
        <v>0.14679842463827988</v>
      </c>
      <c r="BG40" s="2">
        <f t="shared" si="19"/>
        <v>0.13576578909027154</v>
      </c>
      <c r="BH40" s="2">
        <f t="shared" si="19"/>
        <v>0.15818327489811868</v>
      </c>
      <c r="BI40" s="2">
        <f t="shared" si="19"/>
        <v>0.11374120737235374</v>
      </c>
      <c r="BJ40" s="2">
        <f t="shared" si="19"/>
        <v>0.1774946027917457</v>
      </c>
      <c r="BK40" s="2">
        <f t="shared" si="19"/>
        <v>0.1176321557818092</v>
      </c>
      <c r="BL40" s="2">
        <f t="shared" si="19"/>
        <v>0.14976401486439866</v>
      </c>
      <c r="BM40" s="2">
        <f t="shared" si="19"/>
        <v>0.16480895150381575</v>
      </c>
      <c r="BN40" s="2">
        <f t="shared" si="19"/>
        <v>0.12549521253055168</v>
      </c>
      <c r="BO40" s="2">
        <f t="shared" si="19"/>
        <v>0.14429562237058743</v>
      </c>
      <c r="BP40" s="2">
        <f t="shared" si="19"/>
        <v>0.17009836166656392</v>
      </c>
      <c r="BQ40" s="2">
        <f t="shared" si="19"/>
        <v>0.15999785144859952</v>
      </c>
      <c r="BR40" s="2">
        <f t="shared" si="19"/>
        <v>0.1839482080809221</v>
      </c>
      <c r="BS40" s="2">
        <f t="shared" si="19"/>
        <v>0.19565970531185278</v>
      </c>
      <c r="BT40" s="2">
        <f t="shared" si="19"/>
        <v>0.13487325368414857</v>
      </c>
      <c r="BU40" s="2">
        <f t="shared" si="19"/>
        <v>0.2242473061587231</v>
      </c>
      <c r="BV40" s="2">
        <f t="shared" si="19"/>
        <v>0.17870387242047742</v>
      </c>
      <c r="BW40" s="2">
        <f t="shared" si="19"/>
        <v>0.17431767949425792</v>
      </c>
      <c r="BX40" s="2">
        <f t="shared" si="19"/>
        <v>0.15185861003656248</v>
      </c>
      <c r="BY40" s="2">
        <f t="shared" si="19"/>
        <v>0.13142751495478677</v>
      </c>
      <c r="BZ40" s="2">
        <f t="shared" si="19"/>
        <v>0.19540494287126212</v>
      </c>
      <c r="CE40" s="3"/>
      <c r="CF40" s="3"/>
      <c r="CG40" s="3"/>
      <c r="CH40" s="3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1"/>
    </row>
    <row r="41" spans="1:104" x14ac:dyDescent="0.2">
      <c r="A41">
        <v>7268</v>
      </c>
      <c r="B41" s="2">
        <v>76</v>
      </c>
      <c r="C41" s="2" t="s">
        <v>8</v>
      </c>
      <c r="D41" s="2" t="s">
        <v>30</v>
      </c>
      <c r="E41" s="2" t="s">
        <v>29</v>
      </c>
      <c r="F41" s="2" t="s">
        <v>28</v>
      </c>
      <c r="G41" s="2" t="s">
        <v>28</v>
      </c>
      <c r="H41" s="2">
        <v>2</v>
      </c>
      <c r="I41" s="2" t="s">
        <v>27</v>
      </c>
      <c r="J41" s="2">
        <v>777.53075999999999</v>
      </c>
      <c r="K41" s="2">
        <v>777.5308</v>
      </c>
      <c r="L41" s="2">
        <v>776.5223866</v>
      </c>
      <c r="M41" s="2">
        <v>4.9059999999999997</v>
      </c>
      <c r="N41" s="2">
        <v>4.91</v>
      </c>
      <c r="O41" s="2">
        <v>0.97653142402545756</v>
      </c>
      <c r="P41" s="5" t="s">
        <v>3</v>
      </c>
      <c r="Q41" s="2">
        <v>5.0279999999999996</v>
      </c>
      <c r="R41" s="2">
        <v>1</v>
      </c>
      <c r="S41" s="2" t="s">
        <v>2</v>
      </c>
      <c r="T41" s="2" t="s">
        <v>1</v>
      </c>
      <c r="AC41" s="2">
        <f t="shared" si="17"/>
        <v>5.9936631977412586E-2</v>
      </c>
      <c r="AD41" s="2">
        <f t="shared" si="19"/>
        <v>7.5998924056118092E-2</v>
      </c>
      <c r="AE41" s="2">
        <f t="shared" si="19"/>
        <v>6.5049589898320104E-2</v>
      </c>
      <c r="AF41" s="2">
        <f t="shared" si="19"/>
        <v>6.2277684375542881E-2</v>
      </c>
      <c r="AG41" s="2">
        <f t="shared" si="19"/>
        <v>5.6274758178938192E-2</v>
      </c>
      <c r="AH41" s="2">
        <f t="shared" si="19"/>
        <v>8.4859003657258833E-2</v>
      </c>
      <c r="AI41" s="2">
        <f t="shared" si="19"/>
        <v>6.5715829894954364E-2</v>
      </c>
      <c r="AJ41" s="2">
        <f t="shared" si="19"/>
        <v>8.6571623732739134E-2</v>
      </c>
      <c r="AK41" s="2">
        <f t="shared" si="19"/>
        <v>9.2720880889311755E-2</v>
      </c>
      <c r="AL41" s="2">
        <f t="shared" si="19"/>
        <v>7.8836722251738975E-2</v>
      </c>
      <c r="AM41" s="2">
        <f t="shared" si="19"/>
        <v>0.1203901015547113</v>
      </c>
      <c r="AN41" s="2">
        <f t="shared" si="19"/>
        <v>6.0055173715738007E-2</v>
      </c>
      <c r="AO41" s="2">
        <f t="shared" si="19"/>
        <v>7.2287108417208784E-2</v>
      </c>
      <c r="AP41" s="2">
        <f t="shared" si="19"/>
        <v>9.393025468703127E-2</v>
      </c>
      <c r="AQ41" s="2">
        <f t="shared" si="19"/>
        <v>8.0363642584710418E-2</v>
      </c>
      <c r="AR41" s="2">
        <f t="shared" si="19"/>
        <v>0.11599467319413022</v>
      </c>
      <c r="AS41" s="2">
        <f t="shared" si="19"/>
        <v>0.11598785803613393</v>
      </c>
      <c r="AT41" s="2">
        <f t="shared" si="19"/>
        <v>5.7977735706932682E-2</v>
      </c>
      <c r="AU41" s="2">
        <f t="shared" si="19"/>
        <v>0.10528387641611345</v>
      </c>
      <c r="AV41" s="2">
        <f t="shared" si="19"/>
        <v>7.9056625604158715E-2</v>
      </c>
      <c r="AW41" s="2">
        <f t="shared" si="19"/>
        <v>9.1135963918778262E-2</v>
      </c>
      <c r="AX41" s="2">
        <f t="shared" si="19"/>
        <v>7.4111490677978425E-2</v>
      </c>
      <c r="AY41" s="2">
        <f t="shared" si="19"/>
        <v>9.4129823238707236E-2</v>
      </c>
      <c r="AZ41" s="2">
        <f t="shared" si="19"/>
        <v>9.7250914777752828E-2</v>
      </c>
      <c r="BA41" s="2">
        <f t="shared" si="19"/>
        <v>0.10060701249799041</v>
      </c>
      <c r="BB41" s="2">
        <f t="shared" si="19"/>
        <v>9.4950823646393429E-2</v>
      </c>
      <c r="BC41" s="2">
        <f t="shared" si="19"/>
        <v>8.463108539227919E-2</v>
      </c>
      <c r="BD41" s="2">
        <f t="shared" si="19"/>
        <v>0.10144414945947812</v>
      </c>
      <c r="BE41" s="2">
        <f t="shared" si="19"/>
        <v>9.6596235347069917E-2</v>
      </c>
      <c r="BF41" s="2">
        <f t="shared" si="19"/>
        <v>7.0970628989430379E-2</v>
      </c>
      <c r="BG41" s="2">
        <f t="shared" si="19"/>
        <v>7.4077099048742268E-2</v>
      </c>
      <c r="BH41" s="2">
        <f t="shared" si="19"/>
        <v>9.2153425276952777E-2</v>
      </c>
      <c r="BI41" s="2">
        <f t="shared" si="19"/>
        <v>6.5340310426185627E-2</v>
      </c>
      <c r="BJ41" s="2">
        <f t="shared" si="19"/>
        <v>9.2587334040688182E-2</v>
      </c>
      <c r="BK41" s="2">
        <f t="shared" si="19"/>
        <v>6.772192470047679E-2</v>
      </c>
      <c r="BL41" s="2">
        <f t="shared" si="19"/>
        <v>7.9608976461787426E-2</v>
      </c>
      <c r="BM41" s="2">
        <f t="shared" si="19"/>
        <v>7.8427931621181918E-2</v>
      </c>
      <c r="BN41" s="2">
        <f t="shared" si="19"/>
        <v>7.0592067383657073E-2</v>
      </c>
      <c r="BO41" s="2">
        <f t="shared" si="19"/>
        <v>7.2815292584511873E-2</v>
      </c>
      <c r="BP41" s="2">
        <f t="shared" si="19"/>
        <v>9.3570335508109823E-2</v>
      </c>
      <c r="BQ41" s="2">
        <f t="shared" si="19"/>
        <v>0.12036052406627784</v>
      </c>
      <c r="BR41" s="2">
        <f t="shared" si="19"/>
        <v>0.10331240394518286</v>
      </c>
      <c r="BS41" s="2">
        <f t="shared" si="19"/>
        <v>9.3222897000856633E-2</v>
      </c>
      <c r="BT41" s="2">
        <f t="shared" si="19"/>
        <v>9.1648692173465759E-2</v>
      </c>
      <c r="BU41" s="2">
        <f t="shared" si="19"/>
        <v>0.12039703666369127</v>
      </c>
      <c r="BV41" s="2">
        <f t="shared" si="19"/>
        <v>9.6822919585757547E-2</v>
      </c>
      <c r="BW41" s="2">
        <f t="shared" ref="AD41:BZ47" si="20">(BW18/BW$2)*0.059213</f>
        <v>0.10075799661343278</v>
      </c>
      <c r="BX41" s="2">
        <f t="shared" si="20"/>
        <v>8.3489273385903257E-2</v>
      </c>
      <c r="BY41" s="2">
        <f t="shared" si="20"/>
        <v>6.6433519728560805E-2</v>
      </c>
      <c r="BZ41" s="2">
        <f t="shared" si="20"/>
        <v>0.11962705113669972</v>
      </c>
      <c r="CE41" s="3"/>
      <c r="CF41" s="3"/>
      <c r="CG41" s="3"/>
      <c r="CH41" s="3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1"/>
    </row>
    <row r="42" spans="1:104" x14ac:dyDescent="0.2">
      <c r="A42">
        <v>7267</v>
      </c>
      <c r="B42" s="2">
        <v>74</v>
      </c>
      <c r="C42" s="2" t="s">
        <v>8</v>
      </c>
      <c r="D42" s="2" t="s">
        <v>26</v>
      </c>
      <c r="E42" s="2" t="s">
        <v>25</v>
      </c>
      <c r="F42" s="2" t="s">
        <v>24</v>
      </c>
      <c r="G42" s="2" t="s">
        <v>24</v>
      </c>
      <c r="H42" s="2">
        <v>2</v>
      </c>
      <c r="I42" s="2" t="s">
        <v>23</v>
      </c>
      <c r="J42" s="2">
        <v>795.57853</v>
      </c>
      <c r="K42" s="2">
        <v>795.57849999999996</v>
      </c>
      <c r="L42" s="2">
        <v>794.57015660000002</v>
      </c>
      <c r="M42" s="2">
        <v>6.2329999999999997</v>
      </c>
      <c r="N42" s="2">
        <v>6.23</v>
      </c>
      <c r="O42" s="2">
        <v>1.2390612569610184</v>
      </c>
      <c r="P42" s="5" t="s">
        <v>3</v>
      </c>
      <c r="Q42" s="2">
        <v>5.0279999999999996</v>
      </c>
      <c r="R42" s="2">
        <v>1</v>
      </c>
      <c r="S42" s="2" t="s">
        <v>2</v>
      </c>
      <c r="T42" s="2" t="s">
        <v>1</v>
      </c>
      <c r="AC42" s="2">
        <f t="shared" si="17"/>
        <v>0.1627273442479012</v>
      </c>
      <c r="AD42" s="2">
        <f t="shared" si="20"/>
        <v>0.16657496178970541</v>
      </c>
      <c r="AE42" s="2">
        <f t="shared" si="20"/>
        <v>0.14092609971456788</v>
      </c>
      <c r="AF42" s="2">
        <f t="shared" si="20"/>
        <v>0.13244547313431587</v>
      </c>
      <c r="AG42" s="2">
        <f t="shared" si="20"/>
        <v>0.13047002775890146</v>
      </c>
      <c r="AH42" s="2">
        <f t="shared" si="20"/>
        <v>0.19399322823366308</v>
      </c>
      <c r="AI42" s="2">
        <f t="shared" si="20"/>
        <v>0.14431614231733117</v>
      </c>
      <c r="AJ42" s="2">
        <f t="shared" si="20"/>
        <v>0.19917281865460945</v>
      </c>
      <c r="AK42" s="2">
        <f t="shared" si="20"/>
        <v>0.22012874311789182</v>
      </c>
      <c r="AL42" s="2">
        <f t="shared" si="20"/>
        <v>0.18867767533778543</v>
      </c>
      <c r="AM42" s="2">
        <f t="shared" si="20"/>
        <v>0.30818670512979823</v>
      </c>
      <c r="AN42" s="2">
        <f t="shared" si="20"/>
        <v>0.15675987944231928</v>
      </c>
      <c r="AO42" s="2">
        <f t="shared" si="20"/>
        <v>0.21750589161653405</v>
      </c>
      <c r="AP42" s="2">
        <f t="shared" si="20"/>
        <v>0.26315150140417243</v>
      </c>
      <c r="AQ42" s="2">
        <f t="shared" si="20"/>
        <v>0.23459496027877186</v>
      </c>
      <c r="AR42" s="2">
        <f t="shared" si="20"/>
        <v>0.2434571259616882</v>
      </c>
      <c r="AS42" s="2">
        <f t="shared" si="20"/>
        <v>0.24845684292998185</v>
      </c>
      <c r="AT42" s="2">
        <f t="shared" si="20"/>
        <v>0.12324730048076966</v>
      </c>
      <c r="AU42" s="2">
        <f t="shared" si="20"/>
        <v>0.21933262468207304</v>
      </c>
      <c r="AV42" s="2">
        <f t="shared" si="20"/>
        <v>0.15169331521447862</v>
      </c>
      <c r="AW42" s="2">
        <f t="shared" si="20"/>
        <v>0.21550250414919889</v>
      </c>
      <c r="AX42" s="2">
        <f t="shared" si="20"/>
        <v>0.19266947911189028</v>
      </c>
      <c r="AY42" s="2">
        <f t="shared" si="20"/>
        <v>0.23930172344227371</v>
      </c>
      <c r="AZ42" s="2">
        <f t="shared" si="20"/>
        <v>0.19680581267309577</v>
      </c>
      <c r="BA42" s="2">
        <f t="shared" si="20"/>
        <v>0.22536525913375322</v>
      </c>
      <c r="BB42" s="2">
        <f t="shared" si="20"/>
        <v>0.22902741205341581</v>
      </c>
      <c r="BC42" s="2">
        <f t="shared" si="20"/>
        <v>0.18893897987868705</v>
      </c>
      <c r="BD42" s="2">
        <f t="shared" si="20"/>
        <v>0.23797427455195355</v>
      </c>
      <c r="BE42" s="2">
        <f t="shared" si="20"/>
        <v>0.21338649400150769</v>
      </c>
      <c r="BF42" s="2">
        <f t="shared" si="20"/>
        <v>0.16224526887841761</v>
      </c>
      <c r="BG42" s="2">
        <f t="shared" si="20"/>
        <v>0.16611810527851303</v>
      </c>
      <c r="BH42" s="2">
        <f t="shared" si="20"/>
        <v>0.20747539298498932</v>
      </c>
      <c r="BI42" s="2">
        <f t="shared" si="20"/>
        <v>0.16044125234873829</v>
      </c>
      <c r="BJ42" s="2">
        <f t="shared" si="20"/>
        <v>0.19954688547186913</v>
      </c>
      <c r="BK42" s="2">
        <f t="shared" si="20"/>
        <v>0.14709927978364637</v>
      </c>
      <c r="BL42" s="2">
        <f t="shared" si="20"/>
        <v>0.20280708595686575</v>
      </c>
      <c r="BM42" s="2">
        <f t="shared" si="20"/>
        <v>0.16814809746556417</v>
      </c>
      <c r="BN42" s="2">
        <f t="shared" si="20"/>
        <v>0.17372633398136986</v>
      </c>
      <c r="BO42" s="2">
        <f t="shared" si="20"/>
        <v>0.14727401324418676</v>
      </c>
      <c r="BP42" s="2">
        <f t="shared" si="20"/>
        <v>0.26095715146150544</v>
      </c>
      <c r="BQ42" s="2">
        <f t="shared" si="20"/>
        <v>0.2568228471843037</v>
      </c>
      <c r="BR42" s="2">
        <f t="shared" si="20"/>
        <v>0.19090903897216158</v>
      </c>
      <c r="BS42" s="2">
        <f t="shared" si="20"/>
        <v>0.16543331050091137</v>
      </c>
      <c r="BT42" s="2">
        <f t="shared" si="20"/>
        <v>0.17017019852354237</v>
      </c>
      <c r="BU42" s="2">
        <f t="shared" si="20"/>
        <v>0.27069554382600536</v>
      </c>
      <c r="BV42" s="2">
        <f t="shared" si="20"/>
        <v>0.26771738165186537</v>
      </c>
      <c r="BW42" s="2">
        <f t="shared" si="20"/>
        <v>0.23981490072126987</v>
      </c>
      <c r="BX42" s="2">
        <f t="shared" si="20"/>
        <v>0.23585750501932359</v>
      </c>
      <c r="BY42" s="2">
        <f t="shared" si="20"/>
        <v>0.20737476016645118</v>
      </c>
      <c r="BZ42" s="2">
        <f t="shared" si="20"/>
        <v>0.27893411290067227</v>
      </c>
      <c r="CE42" s="3"/>
      <c r="CF42" s="3"/>
      <c r="CG42" s="3"/>
      <c r="CH42" s="3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1"/>
    </row>
    <row r="43" spans="1:104" x14ac:dyDescent="0.2">
      <c r="A43">
        <v>7265</v>
      </c>
      <c r="B43" s="2">
        <v>72</v>
      </c>
      <c r="C43" s="2" t="s">
        <v>8</v>
      </c>
      <c r="D43" s="2" t="s">
        <v>22</v>
      </c>
      <c r="E43" s="2" t="s">
        <v>21</v>
      </c>
      <c r="F43" s="2" t="s">
        <v>18</v>
      </c>
      <c r="G43" s="2" t="s">
        <v>18</v>
      </c>
      <c r="H43" s="2">
        <v>2</v>
      </c>
      <c r="I43" s="2" t="s">
        <v>17</v>
      </c>
      <c r="J43" s="2">
        <v>793.56286</v>
      </c>
      <c r="K43" s="2">
        <v>793.56290000000001</v>
      </c>
      <c r="L43" s="2">
        <v>792.55448660000002</v>
      </c>
      <c r="M43" s="2">
        <v>5.9530000000000003</v>
      </c>
      <c r="N43" s="2">
        <v>5.95</v>
      </c>
      <c r="O43" s="2">
        <v>1.1833731105807479</v>
      </c>
      <c r="P43" s="5" t="s">
        <v>3</v>
      </c>
      <c r="Q43" s="2">
        <v>5.0279999999999996</v>
      </c>
      <c r="R43" s="2">
        <v>1</v>
      </c>
      <c r="S43" s="2" t="s">
        <v>2</v>
      </c>
      <c r="T43" s="2" t="s">
        <v>1</v>
      </c>
      <c r="AC43" s="2">
        <f t="shared" si="17"/>
        <v>0.42389397370726922</v>
      </c>
      <c r="AD43" s="2">
        <f t="shared" si="20"/>
        <v>0.47618296425057638</v>
      </c>
      <c r="AE43" s="2">
        <f t="shared" si="20"/>
        <v>0.41337672249976481</v>
      </c>
      <c r="AF43" s="2">
        <f t="shared" si="20"/>
        <v>0.37231919541337388</v>
      </c>
      <c r="AG43" s="2">
        <f t="shared" si="20"/>
        <v>0.38775386845759874</v>
      </c>
      <c r="AH43" s="2">
        <f t="shared" si="20"/>
        <v>0.64143638629590616</v>
      </c>
      <c r="AI43" s="2">
        <f t="shared" si="20"/>
        <v>0.4281445383739424</v>
      </c>
      <c r="AJ43" s="2">
        <f t="shared" si="20"/>
        <v>0.64639693374431895</v>
      </c>
      <c r="AK43" s="2">
        <f t="shared" si="20"/>
        <v>0.72718029946652907</v>
      </c>
      <c r="AL43" s="2">
        <f t="shared" si="20"/>
        <v>0.64251483860838066</v>
      </c>
      <c r="AM43" s="2">
        <f t="shared" si="20"/>
        <v>0.90434058647307569</v>
      </c>
      <c r="AN43" s="2">
        <f t="shared" si="20"/>
        <v>0.62494933472998382</v>
      </c>
      <c r="AO43" s="2">
        <f t="shared" si="20"/>
        <v>0.70552621702881868</v>
      </c>
      <c r="AP43" s="2">
        <f t="shared" si="20"/>
        <v>0.87305121392751539</v>
      </c>
      <c r="AQ43" s="2">
        <f t="shared" si="20"/>
        <v>0.70028835846458715</v>
      </c>
      <c r="AR43" s="2">
        <f t="shared" si="20"/>
        <v>0.78612129381485163</v>
      </c>
      <c r="AS43" s="2">
        <f t="shared" si="20"/>
        <v>0.72874319911231911</v>
      </c>
      <c r="AT43" s="2">
        <f t="shared" si="20"/>
        <v>0.36757349122179361</v>
      </c>
      <c r="AU43" s="2">
        <f t="shared" si="20"/>
        <v>0.61342954432976537</v>
      </c>
      <c r="AV43" s="2">
        <f t="shared" si="20"/>
        <v>0.48579743606081655</v>
      </c>
      <c r="AW43" s="2">
        <f t="shared" si="20"/>
        <v>0.67508989786190088</v>
      </c>
      <c r="AX43" s="2">
        <f t="shared" si="20"/>
        <v>0.55100002163987971</v>
      </c>
      <c r="AY43" s="2">
        <f t="shared" si="20"/>
        <v>0.69750270683859628</v>
      </c>
      <c r="AZ43" s="2">
        <f t="shared" si="20"/>
        <v>0.6458237851066071</v>
      </c>
      <c r="BA43" s="2">
        <f t="shared" si="20"/>
        <v>0.71715526790388251</v>
      </c>
      <c r="BB43" s="2">
        <f t="shared" si="20"/>
        <v>0.51312438375761882</v>
      </c>
      <c r="BC43" s="2">
        <f t="shared" si="20"/>
        <v>0.47260362120966642</v>
      </c>
      <c r="BD43" s="2">
        <f t="shared" si="20"/>
        <v>0.48462475808337491</v>
      </c>
      <c r="BE43" s="2">
        <f t="shared" si="20"/>
        <v>0.50336194624476149</v>
      </c>
      <c r="BF43" s="2">
        <f t="shared" si="20"/>
        <v>0.38673920764377501</v>
      </c>
      <c r="BG43" s="2">
        <f t="shared" si="20"/>
        <v>0.3992287105176956</v>
      </c>
      <c r="BH43" s="2">
        <f t="shared" si="20"/>
        <v>0.44042016791694133</v>
      </c>
      <c r="BI43" s="2">
        <f t="shared" si="20"/>
        <v>0.3857639971960039</v>
      </c>
      <c r="BJ43" s="2">
        <f t="shared" si="20"/>
        <v>0.50998745528234812</v>
      </c>
      <c r="BK43" s="2">
        <f t="shared" si="20"/>
        <v>0.37913525002484044</v>
      </c>
      <c r="BL43" s="2">
        <f t="shared" si="20"/>
        <v>0.5042397713938499</v>
      </c>
      <c r="BM43" s="2">
        <f t="shared" si="20"/>
        <v>0.39660711229481155</v>
      </c>
      <c r="BN43" s="2">
        <f t="shared" si="20"/>
        <v>0.47587299593964966</v>
      </c>
      <c r="BO43" s="2">
        <f t="shared" si="20"/>
        <v>0.43251140211803435</v>
      </c>
      <c r="BP43" s="2">
        <f t="shared" si="20"/>
        <v>0.67127854299429357</v>
      </c>
      <c r="BQ43" s="2">
        <f t="shared" si="20"/>
        <v>0.58764946229433745</v>
      </c>
      <c r="BR43" s="2">
        <f t="shared" si="20"/>
        <v>0.48163141203973991</v>
      </c>
      <c r="BS43" s="2">
        <f t="shared" si="20"/>
        <v>0.41178330049412865</v>
      </c>
      <c r="BT43" s="2">
        <f t="shared" si="20"/>
        <v>0.45458396902557846</v>
      </c>
      <c r="BU43" s="2">
        <f t="shared" si="20"/>
        <v>0.70778188026977462</v>
      </c>
      <c r="BV43" s="2">
        <f t="shared" si="20"/>
        <v>0.58869649180375849</v>
      </c>
      <c r="BW43" s="2">
        <f t="shared" si="20"/>
        <v>0.61802779749789793</v>
      </c>
      <c r="BX43" s="2">
        <f t="shared" si="20"/>
        <v>0.59625033266747363</v>
      </c>
      <c r="BY43" s="2">
        <f t="shared" si="20"/>
        <v>0.44228261276950503</v>
      </c>
      <c r="BZ43" s="2">
        <f t="shared" si="20"/>
        <v>0.64298855765761809</v>
      </c>
      <c r="CE43" s="3"/>
      <c r="CF43" s="3"/>
      <c r="CG43" s="3"/>
      <c r="CH43" s="3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1"/>
    </row>
    <row r="44" spans="1:104" x14ac:dyDescent="0.2">
      <c r="A44">
        <v>7266</v>
      </c>
      <c r="B44" s="2">
        <v>73</v>
      </c>
      <c r="C44" s="2" t="s">
        <v>8</v>
      </c>
      <c r="D44" s="2" t="s">
        <v>20</v>
      </c>
      <c r="E44" s="2" t="s">
        <v>19</v>
      </c>
      <c r="F44" s="2" t="s">
        <v>18</v>
      </c>
      <c r="G44" s="2" t="s">
        <v>18</v>
      </c>
      <c r="H44" s="2">
        <v>2</v>
      </c>
      <c r="I44" s="2" t="s">
        <v>17</v>
      </c>
      <c r="J44" s="2">
        <v>793.56281000000001</v>
      </c>
      <c r="K44" s="2">
        <v>793.56280000000004</v>
      </c>
      <c r="L44" s="2">
        <v>792.55443660000003</v>
      </c>
      <c r="M44" s="2">
        <v>5.6390000000000002</v>
      </c>
      <c r="N44" s="2">
        <v>5.64</v>
      </c>
      <c r="O44" s="2">
        <v>1.1217183770883055</v>
      </c>
      <c r="P44" s="5" t="s">
        <v>3</v>
      </c>
      <c r="Q44" s="2">
        <v>5.0279999999999996</v>
      </c>
      <c r="R44" s="2">
        <v>1</v>
      </c>
      <c r="S44" s="2" t="s">
        <v>2</v>
      </c>
      <c r="T44" s="2" t="s">
        <v>1</v>
      </c>
      <c r="AC44" s="2">
        <f t="shared" si="17"/>
        <v>0.49864107878074437</v>
      </c>
      <c r="AD44" s="2">
        <f t="shared" si="20"/>
        <v>0.6363802165936232</v>
      </c>
      <c r="AE44" s="2">
        <f t="shared" si="20"/>
        <v>0.53840638914938854</v>
      </c>
      <c r="AF44" s="2">
        <f t="shared" si="20"/>
        <v>0.52020238872216285</v>
      </c>
      <c r="AG44" s="2">
        <f t="shared" si="20"/>
        <v>0.52163981617696831</v>
      </c>
      <c r="AH44" s="2">
        <f t="shared" si="20"/>
        <v>0.64891811025451651</v>
      </c>
      <c r="AI44" s="2">
        <f t="shared" si="20"/>
        <v>0.49206619616376773</v>
      </c>
      <c r="AJ44" s="2">
        <f t="shared" si="20"/>
        <v>0.64006945571199847</v>
      </c>
      <c r="AK44" s="2">
        <f t="shared" si="20"/>
        <v>0.63676153563470483</v>
      </c>
      <c r="AL44" s="2">
        <f t="shared" si="20"/>
        <v>0.56772246255953307</v>
      </c>
      <c r="AM44" s="2">
        <f t="shared" si="20"/>
        <v>0.81983310331360182</v>
      </c>
      <c r="AN44" s="2">
        <f t="shared" si="20"/>
        <v>0.45374051412477251</v>
      </c>
      <c r="AO44" s="2">
        <f t="shared" si="20"/>
        <v>0.55781949699180633</v>
      </c>
      <c r="AP44" s="2">
        <f t="shared" si="20"/>
        <v>0.77397779801819322</v>
      </c>
      <c r="AQ44" s="2">
        <f t="shared" si="20"/>
        <v>0.55584441616356584</v>
      </c>
      <c r="AR44" s="2">
        <f t="shared" si="20"/>
        <v>0.91741787080698878</v>
      </c>
      <c r="AS44" s="2">
        <f t="shared" si="20"/>
        <v>0.83885642505670366</v>
      </c>
      <c r="AT44" s="2">
        <f t="shared" si="20"/>
        <v>0.4941535432228692</v>
      </c>
      <c r="AU44" s="2">
        <f t="shared" si="20"/>
        <v>0.81381096721180968</v>
      </c>
      <c r="AV44" s="2">
        <f t="shared" si="20"/>
        <v>0.64857131535423429</v>
      </c>
      <c r="AW44" s="2">
        <f t="shared" si="20"/>
        <v>0.84684102165421971</v>
      </c>
      <c r="AX44" s="2">
        <f t="shared" si="20"/>
        <v>0.59644425516287491</v>
      </c>
      <c r="AY44" s="2">
        <f t="shared" si="20"/>
        <v>0.82221208102299081</v>
      </c>
      <c r="AZ44" s="2">
        <f t="shared" si="20"/>
        <v>0.75442357505917457</v>
      </c>
      <c r="BA44" s="2">
        <f t="shared" si="20"/>
        <v>0.82075116003190463</v>
      </c>
      <c r="BB44" s="2">
        <f t="shared" si="20"/>
        <v>0.98381965257299442</v>
      </c>
      <c r="BC44" s="2">
        <f t="shared" si="20"/>
        <v>0.8427538940570356</v>
      </c>
      <c r="BD44" s="2">
        <f t="shared" si="20"/>
        <v>0.94610992035093777</v>
      </c>
      <c r="BE44" s="2">
        <f t="shared" si="20"/>
        <v>0.91018391286956202</v>
      </c>
      <c r="BF44" s="2">
        <f t="shared" si="20"/>
        <v>0.79127142076530055</v>
      </c>
      <c r="BG44" s="2">
        <f t="shared" si="20"/>
        <v>0.76428300875170396</v>
      </c>
      <c r="BH44" s="2">
        <f t="shared" si="20"/>
        <v>0.8996092539234849</v>
      </c>
      <c r="BI44" s="2">
        <f t="shared" si="20"/>
        <v>0.68570231864755415</v>
      </c>
      <c r="BJ44" s="2">
        <f t="shared" si="20"/>
        <v>0.94429576488140288</v>
      </c>
      <c r="BK44" s="2">
        <f t="shared" si="20"/>
        <v>0.67037384724289317</v>
      </c>
      <c r="BL44" s="2">
        <f t="shared" si="20"/>
        <v>0.84167441841703983</v>
      </c>
      <c r="BM44" s="2">
        <f t="shared" si="20"/>
        <v>0.72051576482314605</v>
      </c>
      <c r="BN44" s="2">
        <f t="shared" si="20"/>
        <v>0.70874214262151003</v>
      </c>
      <c r="BO44" s="2">
        <f t="shared" si="20"/>
        <v>0.65879349894901251</v>
      </c>
      <c r="BP44" s="2">
        <f t="shared" si="20"/>
        <v>0.98594982474427573</v>
      </c>
      <c r="BQ44" s="2">
        <f t="shared" si="20"/>
        <v>1.1990411589355023</v>
      </c>
      <c r="BR44" s="2">
        <f t="shared" si="20"/>
        <v>0.99142099388499871</v>
      </c>
      <c r="BS44" s="2">
        <f t="shared" si="20"/>
        <v>0.99126386059747651</v>
      </c>
      <c r="BT44" s="2">
        <f t="shared" si="20"/>
        <v>0.98837761804375657</v>
      </c>
      <c r="BU44" s="2">
        <f t="shared" si="20"/>
        <v>1.2963461258829887</v>
      </c>
      <c r="BV44" s="2">
        <f t="shared" si="20"/>
        <v>1.1281071302526204</v>
      </c>
      <c r="BW44" s="2">
        <f t="shared" si="20"/>
        <v>0.9973348729634689</v>
      </c>
      <c r="BX44" s="2">
        <f t="shared" si="20"/>
        <v>0.93948745619313034</v>
      </c>
      <c r="BY44" s="2">
        <f t="shared" si="20"/>
        <v>0.87874141882249535</v>
      </c>
      <c r="BZ44" s="2">
        <f t="shared" si="20"/>
        <v>1.2727255677350007</v>
      </c>
      <c r="CE44" s="3"/>
      <c r="CF44" s="3"/>
      <c r="CG44" s="3"/>
      <c r="CH44" s="3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1"/>
    </row>
    <row r="45" spans="1:104" x14ac:dyDescent="0.2">
      <c r="A45">
        <v>7264</v>
      </c>
      <c r="B45" s="2">
        <v>67</v>
      </c>
      <c r="C45" s="2" t="s">
        <v>8</v>
      </c>
      <c r="D45" s="2" t="s">
        <v>16</v>
      </c>
      <c r="E45" s="2" t="s">
        <v>15</v>
      </c>
      <c r="F45" s="2" t="s">
        <v>14</v>
      </c>
      <c r="G45" s="2" t="s">
        <v>14</v>
      </c>
      <c r="H45" s="2">
        <v>2</v>
      </c>
      <c r="I45" s="2" t="s">
        <v>13</v>
      </c>
      <c r="J45" s="2">
        <v>791.54791</v>
      </c>
      <c r="K45" s="2">
        <v>791.54790000000003</v>
      </c>
      <c r="L45" s="2">
        <v>790.53953660000002</v>
      </c>
      <c r="M45" s="2">
        <v>5.3659999999999997</v>
      </c>
      <c r="N45" s="2">
        <v>5.37</v>
      </c>
      <c r="O45" s="2">
        <v>1.068019093078759</v>
      </c>
      <c r="P45" s="5" t="s">
        <v>3</v>
      </c>
      <c r="Q45" s="2">
        <v>5.0279999999999996</v>
      </c>
      <c r="R45" s="2">
        <v>2</v>
      </c>
      <c r="S45" s="2" t="s">
        <v>2</v>
      </c>
      <c r="T45" s="2" t="s">
        <v>1</v>
      </c>
      <c r="AC45" s="2">
        <f t="shared" si="17"/>
        <v>6.6533692322162068</v>
      </c>
      <c r="AD45" s="2">
        <f t="shared" si="20"/>
        <v>8.3623737890250069</v>
      </c>
      <c r="AE45" s="2">
        <f t="shared" si="20"/>
        <v>7.1679722677004616</v>
      </c>
      <c r="AF45" s="2">
        <f t="shared" si="20"/>
        <v>6.6832437093075683</v>
      </c>
      <c r="AG45" s="2">
        <f t="shared" si="20"/>
        <v>6.3873172186251299</v>
      </c>
      <c r="AH45" s="2">
        <f t="shared" si="20"/>
        <v>8.6817875228356982</v>
      </c>
      <c r="AI45" s="2">
        <f t="shared" si="20"/>
        <v>7.0567126118748975</v>
      </c>
      <c r="AJ45" s="2">
        <f t="shared" si="20"/>
        <v>8.5365452822731225</v>
      </c>
      <c r="AK45" s="2">
        <f t="shared" si="20"/>
        <v>9.0494276646240195</v>
      </c>
      <c r="AL45" s="2">
        <f t="shared" si="20"/>
        <v>7.6560505319600018</v>
      </c>
      <c r="AM45" s="2">
        <f t="shared" si="20"/>
        <v>10.619278715461466</v>
      </c>
      <c r="AN45" s="2">
        <f t="shared" si="20"/>
        <v>6.7584398530018888</v>
      </c>
      <c r="AO45" s="2">
        <f t="shared" si="20"/>
        <v>7.9581820232407203</v>
      </c>
      <c r="AP45" s="2">
        <f t="shared" si="20"/>
        <v>9.5800700650949402</v>
      </c>
      <c r="AQ45" s="2">
        <f t="shared" si="20"/>
        <v>8.6356076283154994</v>
      </c>
      <c r="AR45" s="2">
        <f t="shared" si="20"/>
        <v>12.837074444271011</v>
      </c>
      <c r="AS45" s="2">
        <f t="shared" si="20"/>
        <v>11.082958683771064</v>
      </c>
      <c r="AT45" s="2">
        <f t="shared" si="20"/>
        <v>6.5449054063169427</v>
      </c>
      <c r="AU45" s="2">
        <f t="shared" si="20"/>
        <v>10.760459862665718</v>
      </c>
      <c r="AV45" s="2">
        <f t="shared" si="20"/>
        <v>8.5356824191671574</v>
      </c>
      <c r="AW45" s="2">
        <f t="shared" si="20"/>
        <v>10.125010367447333</v>
      </c>
      <c r="AX45" s="2">
        <f t="shared" si="20"/>
        <v>7.689058041829929</v>
      </c>
      <c r="AY45" s="2">
        <f t="shared" si="20"/>
        <v>9.9960386336787703</v>
      </c>
      <c r="AZ45" s="2">
        <f t="shared" si="20"/>
        <v>9.6153536226755811</v>
      </c>
      <c r="BA45" s="2">
        <f t="shared" si="20"/>
        <v>9.8273786634667957</v>
      </c>
      <c r="BB45" s="2">
        <f t="shared" si="20"/>
        <v>9.4113704035292134</v>
      </c>
      <c r="BC45" s="2">
        <f t="shared" si="20"/>
        <v>8.8329911505620728</v>
      </c>
      <c r="BD45" s="2">
        <f t="shared" si="20"/>
        <v>9.2930675246465029</v>
      </c>
      <c r="BE45" s="2">
        <f t="shared" si="20"/>
        <v>10.169297714948762</v>
      </c>
      <c r="BF45" s="2">
        <f t="shared" si="20"/>
        <v>7.6216974391105881</v>
      </c>
      <c r="BG45" s="2">
        <f t="shared" si="20"/>
        <v>7.9806675039322723</v>
      </c>
      <c r="BH45" s="2">
        <f t="shared" si="20"/>
        <v>9.010286159590537</v>
      </c>
      <c r="BI45" s="2">
        <f t="shared" si="20"/>
        <v>7.2710156069167899</v>
      </c>
      <c r="BJ45" s="2">
        <f t="shared" si="20"/>
        <v>9.9162437672341071</v>
      </c>
      <c r="BK45" s="2">
        <f t="shared" si="20"/>
        <v>7.8997632021430997</v>
      </c>
      <c r="BL45" s="2">
        <f t="shared" si="20"/>
        <v>9.4323744063638131</v>
      </c>
      <c r="BM45" s="2">
        <f t="shared" si="20"/>
        <v>8.5370188147763173</v>
      </c>
      <c r="BN45" s="2">
        <f t="shared" si="20"/>
        <v>8.4506090168113008</v>
      </c>
      <c r="BO45" s="2">
        <f t="shared" si="20"/>
        <v>8.3373045999596123</v>
      </c>
      <c r="BP45" s="2">
        <f t="shared" si="20"/>
        <v>11.336338202314057</v>
      </c>
      <c r="BQ45" s="2">
        <f t="shared" si="20"/>
        <v>10.67342424727496</v>
      </c>
      <c r="BR45" s="2">
        <f t="shared" si="20"/>
        <v>10.732749707167736</v>
      </c>
      <c r="BS45" s="2">
        <f t="shared" si="20"/>
        <v>10.46767052747238</v>
      </c>
      <c r="BT45" s="2">
        <f t="shared" si="20"/>
        <v>10.095599448841385</v>
      </c>
      <c r="BU45" s="2">
        <f t="shared" si="20"/>
        <v>12.908818467753807</v>
      </c>
      <c r="BV45" s="2">
        <f t="shared" si="20"/>
        <v>10.572706430982818</v>
      </c>
      <c r="BW45" s="2">
        <f t="shared" si="20"/>
        <v>10.809414380588869</v>
      </c>
      <c r="BX45" s="2">
        <f t="shared" si="20"/>
        <v>9.037281407845688</v>
      </c>
      <c r="BY45" s="2">
        <f t="shared" si="20"/>
        <v>8.3503176225521294</v>
      </c>
      <c r="BZ45" s="2">
        <f t="shared" si="20"/>
        <v>12.092617636017629</v>
      </c>
      <c r="CE45" s="3"/>
      <c r="CF45" s="3"/>
      <c r="CG45" s="3"/>
      <c r="CH45" s="3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1"/>
    </row>
    <row r="46" spans="1:104" x14ac:dyDescent="0.2">
      <c r="A46">
        <v>7263</v>
      </c>
      <c r="B46" s="2">
        <v>66</v>
      </c>
      <c r="C46" s="2" t="s">
        <v>8</v>
      </c>
      <c r="D46" s="2" t="s">
        <v>12</v>
      </c>
      <c r="E46" s="2" t="s">
        <v>11</v>
      </c>
      <c r="F46" s="2" t="s">
        <v>10</v>
      </c>
      <c r="G46" s="2" t="s">
        <v>10</v>
      </c>
      <c r="H46" s="2">
        <v>2</v>
      </c>
      <c r="I46" s="2" t="s">
        <v>9</v>
      </c>
      <c r="J46" s="2">
        <v>789.53126999999995</v>
      </c>
      <c r="K46" s="2">
        <v>789.53129999999999</v>
      </c>
      <c r="L46" s="2">
        <v>788.52289659999997</v>
      </c>
      <c r="M46" s="2">
        <v>4.1929999999999996</v>
      </c>
      <c r="N46" s="2">
        <v>4.1900000000000004</v>
      </c>
      <c r="O46" s="2">
        <v>0.83333333333333348</v>
      </c>
      <c r="P46" s="5" t="s">
        <v>3</v>
      </c>
      <c r="Q46" s="2">
        <v>5.0279999999999996</v>
      </c>
      <c r="R46" s="2">
        <v>1</v>
      </c>
      <c r="S46" s="2" t="s">
        <v>2</v>
      </c>
      <c r="T46" s="2" t="s">
        <v>1</v>
      </c>
      <c r="AC46" s="2">
        <f t="shared" si="17"/>
        <v>3.7848318396140813E-2</v>
      </c>
      <c r="AD46" s="2">
        <f t="shared" si="20"/>
        <v>5.511383518798018E-2</v>
      </c>
      <c r="AE46" s="2">
        <f t="shared" si="20"/>
        <v>4.5837051413840625E-2</v>
      </c>
      <c r="AF46" s="2">
        <f t="shared" si="20"/>
        <v>4.7310216703090782E-2</v>
      </c>
      <c r="AG46" s="2">
        <f t="shared" si="20"/>
        <v>3.9093570382970323E-2</v>
      </c>
      <c r="AH46" s="2">
        <f t="shared" si="20"/>
        <v>5.9659418884211016E-2</v>
      </c>
      <c r="AI46" s="2">
        <f t="shared" si="20"/>
        <v>5.0133865701392034E-2</v>
      </c>
      <c r="AJ46" s="2">
        <f t="shared" si="20"/>
        <v>5.3396137449774804E-2</v>
      </c>
      <c r="AK46" s="2">
        <f t="shared" si="20"/>
        <v>5.1440515511648736E-2</v>
      </c>
      <c r="AL46" s="2">
        <f t="shared" si="20"/>
        <v>4.675046201252521E-2</v>
      </c>
      <c r="AM46" s="2">
        <f t="shared" si="20"/>
        <v>8.1926865446373912E-2</v>
      </c>
      <c r="AN46" s="2">
        <f t="shared" si="20"/>
        <v>3.8699464756322598E-2</v>
      </c>
      <c r="AO46" s="2">
        <f t="shared" si="20"/>
        <v>4.6376142871206699E-2</v>
      </c>
      <c r="AP46" s="2">
        <f t="shared" si="20"/>
        <v>6.098191177456417E-2</v>
      </c>
      <c r="AQ46" s="2">
        <f t="shared" si="20"/>
        <v>5.3950232258544353E-2</v>
      </c>
      <c r="AR46" s="2">
        <f t="shared" si="20"/>
        <v>9.1532028124706552E-2</v>
      </c>
      <c r="AS46" s="2">
        <f t="shared" si="20"/>
        <v>7.8100184472909048E-2</v>
      </c>
      <c r="AT46" s="2">
        <f t="shared" si="20"/>
        <v>4.9760247731004605E-2</v>
      </c>
      <c r="AU46" s="2">
        <f t="shared" si="20"/>
        <v>8.0960079215239178E-2</v>
      </c>
      <c r="AV46" s="2">
        <f t="shared" si="20"/>
        <v>5.4182997959384568E-2</v>
      </c>
      <c r="AW46" s="2">
        <f t="shared" si="20"/>
        <v>8.8153850865440558E-2</v>
      </c>
      <c r="AX46" s="2">
        <f t="shared" si="20"/>
        <v>5.3432877103906082E-2</v>
      </c>
      <c r="AY46" s="2">
        <f t="shared" si="20"/>
        <v>8.3716296219723124E-2</v>
      </c>
      <c r="AZ46" s="2">
        <f t="shared" si="20"/>
        <v>7.1758282442354576E-2</v>
      </c>
      <c r="BA46" s="2">
        <f t="shared" si="20"/>
        <v>7.6094012970308891E-2</v>
      </c>
      <c r="BB46" s="2">
        <f t="shared" si="20"/>
        <v>9.0055611284470538E-2</v>
      </c>
      <c r="BC46" s="2">
        <f t="shared" si="20"/>
        <v>8.6885999617909035E-2</v>
      </c>
      <c r="BD46" s="2">
        <f t="shared" si="20"/>
        <v>8.5693243848529707E-2</v>
      </c>
      <c r="BE46" s="2">
        <f t="shared" si="20"/>
        <v>7.6802547285497402E-2</v>
      </c>
      <c r="BF46" s="2">
        <f t="shared" si="20"/>
        <v>8.0605809926280622E-2</v>
      </c>
      <c r="BG46" s="2">
        <f t="shared" si="20"/>
        <v>6.6799568513630433E-2</v>
      </c>
      <c r="BH46" s="2">
        <f t="shared" si="20"/>
        <v>8.0290759629741304E-2</v>
      </c>
      <c r="BI46" s="2">
        <f t="shared" si="20"/>
        <v>5.8111046606996147E-2</v>
      </c>
      <c r="BJ46" s="2">
        <f t="shared" si="20"/>
        <v>8.2084186329060005E-2</v>
      </c>
      <c r="BK46" s="2">
        <f t="shared" si="20"/>
        <v>5.6779306492297163E-2</v>
      </c>
      <c r="BL46" s="2">
        <f t="shared" si="20"/>
        <v>7.1593218737862591E-2</v>
      </c>
      <c r="BM46" s="2">
        <f t="shared" si="20"/>
        <v>6.9787034214975036E-2</v>
      </c>
      <c r="BN46" s="2">
        <f t="shared" si="20"/>
        <v>6.3126141508830974E-2</v>
      </c>
      <c r="BO46" s="2">
        <f t="shared" si="20"/>
        <v>5.8605182813412371E-2</v>
      </c>
      <c r="BP46" s="2">
        <f t="shared" si="20"/>
        <v>8.7281134280581096E-2</v>
      </c>
      <c r="BQ46" s="2">
        <f t="shared" si="20"/>
        <v>0.1237502802196703</v>
      </c>
      <c r="BR46" s="2">
        <f t="shared" si="20"/>
        <v>9.3797189491596988E-2</v>
      </c>
      <c r="BS46" s="2">
        <f t="shared" si="20"/>
        <v>9.6970115778953564E-2</v>
      </c>
      <c r="BT46" s="2">
        <f t="shared" si="20"/>
        <v>9.0738764116678763E-2</v>
      </c>
      <c r="BU46" s="2">
        <f t="shared" si="20"/>
        <v>0.1263311317932963</v>
      </c>
      <c r="BV46" s="2">
        <f t="shared" si="20"/>
        <v>9.889371852407941E-2</v>
      </c>
      <c r="BW46" s="2">
        <f t="shared" si="20"/>
        <v>8.3384485805323483E-2</v>
      </c>
      <c r="BX46" s="2">
        <f t="shared" si="20"/>
        <v>8.8715121565781374E-2</v>
      </c>
      <c r="BY46" s="2">
        <f t="shared" si="20"/>
        <v>7.4895275140540229E-2</v>
      </c>
      <c r="BZ46" s="2">
        <f t="shared" si="20"/>
        <v>0.10847957852744147</v>
      </c>
      <c r="CE46" s="3"/>
      <c r="CF46" s="3"/>
      <c r="CG46" s="3"/>
      <c r="CH46" s="3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1"/>
    </row>
    <row r="47" spans="1:104" x14ac:dyDescent="0.2">
      <c r="A47">
        <v>7262</v>
      </c>
      <c r="B47" s="2">
        <v>65</v>
      </c>
      <c r="C47" s="2" t="s">
        <v>8</v>
      </c>
      <c r="D47" s="2" t="s">
        <v>7</v>
      </c>
      <c r="E47" s="2" t="s">
        <v>6</v>
      </c>
      <c r="F47" s="2" t="s">
        <v>5</v>
      </c>
      <c r="G47" s="2" t="s">
        <v>5</v>
      </c>
      <c r="H47" s="2">
        <v>2</v>
      </c>
      <c r="I47" s="2" t="s">
        <v>4</v>
      </c>
      <c r="J47" s="2">
        <v>787.51621999999998</v>
      </c>
      <c r="K47" s="2">
        <v>787.51620000000003</v>
      </c>
      <c r="L47" s="2">
        <v>786.50784659999999</v>
      </c>
      <c r="M47" s="2">
        <v>3.9809999999999999</v>
      </c>
      <c r="N47" s="2">
        <v>3.98</v>
      </c>
      <c r="O47" s="2">
        <v>0.79156722354813058</v>
      </c>
      <c r="P47" s="5" t="s">
        <v>3</v>
      </c>
      <c r="Q47" s="2">
        <v>5.0279999999999996</v>
      </c>
      <c r="R47" s="2">
        <v>1</v>
      </c>
      <c r="S47" s="2" t="s">
        <v>2</v>
      </c>
      <c r="T47" s="2" t="s">
        <v>1</v>
      </c>
      <c r="AC47" s="2">
        <f t="shared" si="17"/>
        <v>0.82175060521551879</v>
      </c>
      <c r="AD47" s="2">
        <f t="shared" si="20"/>
        <v>1.0863768995767928</v>
      </c>
      <c r="AE47" s="2">
        <f t="shared" si="20"/>
        <v>0.91101008439427467</v>
      </c>
      <c r="AF47" s="2">
        <f t="shared" si="20"/>
        <v>0.82472391696178438</v>
      </c>
      <c r="AG47" s="2">
        <f t="shared" si="20"/>
        <v>0.7107435341645838</v>
      </c>
      <c r="AH47" s="2">
        <f t="shared" si="20"/>
        <v>1.0974939362665188</v>
      </c>
      <c r="AI47" s="2">
        <f t="shared" si="20"/>
        <v>0.90448260092661503</v>
      </c>
      <c r="AJ47" s="2">
        <f t="shared" ref="AJ47:BZ47" si="21">(AJ24/AJ$2)*0.059213</f>
        <v>1.0667888237601129</v>
      </c>
      <c r="AK47" s="2">
        <f t="shared" si="21"/>
        <v>1.0037118154496176</v>
      </c>
      <c r="AL47" s="2">
        <f t="shared" si="21"/>
        <v>0.87297931698826681</v>
      </c>
      <c r="AM47" s="2">
        <f t="shared" si="21"/>
        <v>1.3442865495522138</v>
      </c>
      <c r="AN47" s="2">
        <f t="shared" si="21"/>
        <v>0.78913163157322685</v>
      </c>
      <c r="AO47" s="2">
        <f t="shared" si="21"/>
        <v>0.94553988966840108</v>
      </c>
      <c r="AP47" s="2">
        <f t="shared" si="21"/>
        <v>1.0582777938204182</v>
      </c>
      <c r="AQ47" s="2">
        <f t="shared" si="21"/>
        <v>1.0919929673694939</v>
      </c>
      <c r="AR47" s="2">
        <f t="shared" si="21"/>
        <v>1.4970232237720205</v>
      </c>
      <c r="AS47" s="2">
        <f t="shared" si="21"/>
        <v>1.4022419669215458</v>
      </c>
      <c r="AT47" s="2">
        <f t="shared" si="21"/>
        <v>0.84449122631840745</v>
      </c>
      <c r="AU47" s="2">
        <f t="shared" si="21"/>
        <v>1.5074404340574279</v>
      </c>
      <c r="AV47" s="2">
        <f t="shared" si="21"/>
        <v>1.1303683898618471</v>
      </c>
      <c r="AW47" s="2">
        <f t="shared" si="21"/>
        <v>1.393186654045431</v>
      </c>
      <c r="AX47" s="2">
        <f t="shared" si="21"/>
        <v>0.9987734171269228</v>
      </c>
      <c r="AY47" s="2">
        <f t="shared" si="21"/>
        <v>1.3270733899560763</v>
      </c>
      <c r="AZ47" s="2">
        <f t="shared" si="21"/>
        <v>1.2751823918748788</v>
      </c>
      <c r="BA47" s="2">
        <f t="shared" si="21"/>
        <v>1.2381048775323669</v>
      </c>
      <c r="BB47" s="2">
        <f t="shared" si="21"/>
        <v>1.1903206423182657</v>
      </c>
      <c r="BC47" s="2">
        <f t="shared" si="21"/>
        <v>1.1116437541856454</v>
      </c>
      <c r="BD47" s="2">
        <f t="shared" si="21"/>
        <v>1.1922834680365337</v>
      </c>
      <c r="BE47" s="2">
        <f t="shared" si="21"/>
        <v>1.322138445801867</v>
      </c>
      <c r="BF47" s="2">
        <f t="shared" si="21"/>
        <v>0.99321324544608591</v>
      </c>
      <c r="BG47" s="2">
        <f t="shared" si="21"/>
        <v>0.98890579404210222</v>
      </c>
      <c r="BH47" s="2">
        <f t="shared" si="21"/>
        <v>1.0949964534710233</v>
      </c>
      <c r="BI47" s="2">
        <f t="shared" si="21"/>
        <v>0.85643008247850794</v>
      </c>
      <c r="BJ47" s="2">
        <f t="shared" si="21"/>
        <v>1.1407482898506589</v>
      </c>
      <c r="BK47" s="2">
        <f t="shared" si="21"/>
        <v>0.9100858428698696</v>
      </c>
      <c r="BL47" s="2">
        <f t="shared" si="21"/>
        <v>1.0697292913081389</v>
      </c>
      <c r="BM47" s="2">
        <f t="shared" si="21"/>
        <v>1.083401568535848</v>
      </c>
      <c r="BN47" s="2">
        <f t="shared" si="21"/>
        <v>0.950715635079457</v>
      </c>
      <c r="BO47" s="2">
        <f t="shared" si="21"/>
        <v>0.99653246907401871</v>
      </c>
      <c r="BP47" s="2">
        <f t="shared" si="21"/>
        <v>1.2289275096376475</v>
      </c>
      <c r="BQ47" s="2">
        <f t="shared" si="21"/>
        <v>1.324641969154015</v>
      </c>
      <c r="BR47" s="2">
        <f t="shared" si="21"/>
        <v>1.2898071343895718</v>
      </c>
      <c r="BS47" s="2">
        <f t="shared" si="21"/>
        <v>1.2473277316338878</v>
      </c>
      <c r="BT47" s="2">
        <f t="shared" si="21"/>
        <v>1.1465061154069092</v>
      </c>
      <c r="BU47" s="2">
        <f t="shared" si="21"/>
        <v>1.5715391300711361</v>
      </c>
      <c r="BV47" s="2">
        <f t="shared" si="21"/>
        <v>1.1699530174143113</v>
      </c>
      <c r="BW47" s="2">
        <f t="shared" si="21"/>
        <v>1.2756299865006904</v>
      </c>
      <c r="BX47" s="2">
        <f t="shared" si="21"/>
        <v>0.98808150770840886</v>
      </c>
      <c r="BY47" s="2">
        <f t="shared" si="21"/>
        <v>0.9115909601706379</v>
      </c>
      <c r="BZ47" s="2">
        <f t="shared" si="21"/>
        <v>1.3756140887673274</v>
      </c>
      <c r="CE47" s="3"/>
      <c r="CF47" s="3"/>
      <c r="CG47" s="3"/>
      <c r="CH47" s="3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1"/>
    </row>
    <row r="48" spans="1:104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Q48" s="2"/>
      <c r="R48" s="2"/>
      <c r="S48" s="2"/>
      <c r="T48" s="2"/>
      <c r="AB48" t="s">
        <v>0</v>
      </c>
      <c r="AC48" s="4">
        <f t="shared" ref="AC48:BH48" si="22">SUM(AC26:AC47)</f>
        <v>17.394285436615259</v>
      </c>
      <c r="AD48" s="4">
        <f t="shared" si="22"/>
        <v>22.324828491089669</v>
      </c>
      <c r="AE48" s="4">
        <f t="shared" si="22"/>
        <v>18.872123609080575</v>
      </c>
      <c r="AF48" s="4">
        <f t="shared" si="22"/>
        <v>17.917025672072725</v>
      </c>
      <c r="AG48" s="4">
        <f t="shared" si="22"/>
        <v>16.817908268019931</v>
      </c>
      <c r="AH48" s="4">
        <f t="shared" si="22"/>
        <v>23.22576359719783</v>
      </c>
      <c r="AI48" s="4">
        <f t="shared" si="22"/>
        <v>18.475547764612042</v>
      </c>
      <c r="AJ48" s="4">
        <f t="shared" si="22"/>
        <v>22.465571661187276</v>
      </c>
      <c r="AK48" s="4">
        <f t="shared" si="22"/>
        <v>23.226363758829855</v>
      </c>
      <c r="AL48" s="4">
        <f t="shared" si="22"/>
        <v>19.939541616647947</v>
      </c>
      <c r="AM48" s="4">
        <f t="shared" si="22"/>
        <v>29.405737394184406</v>
      </c>
      <c r="AN48" s="4">
        <f t="shared" si="22"/>
        <v>17.487264780036295</v>
      </c>
      <c r="AO48" s="4">
        <f t="shared" si="22"/>
        <v>20.545583177993528</v>
      </c>
      <c r="AP48" s="4">
        <f t="shared" si="22"/>
        <v>25.066893993471247</v>
      </c>
      <c r="AQ48" s="4">
        <f t="shared" si="22"/>
        <v>23.195263080751857</v>
      </c>
      <c r="AR48" s="4">
        <f t="shared" si="22"/>
        <v>30.58748714845191</v>
      </c>
      <c r="AS48" s="4">
        <f t="shared" si="22"/>
        <v>28.614601172174108</v>
      </c>
      <c r="AT48" s="4">
        <f t="shared" si="22"/>
        <v>17.156140058316772</v>
      </c>
      <c r="AU48" s="4">
        <f t="shared" si="22"/>
        <v>27.761957322021853</v>
      </c>
      <c r="AV48" s="4">
        <f t="shared" si="22"/>
        <v>21.652981846965048</v>
      </c>
      <c r="AW48" s="4">
        <f t="shared" si="22"/>
        <v>27.302389835566888</v>
      </c>
      <c r="AX48" s="4">
        <f t="shared" si="22"/>
        <v>21.02597466511385</v>
      </c>
      <c r="AY48" s="4">
        <f t="shared" si="22"/>
        <v>26.124368461919072</v>
      </c>
      <c r="AZ48" s="4">
        <f t="shared" si="22"/>
        <v>24.819973681421082</v>
      </c>
      <c r="BA48" s="4">
        <f t="shared" si="22"/>
        <v>25.88273032239336</v>
      </c>
      <c r="BB48" s="4">
        <f t="shared" si="22"/>
        <v>25.650155951984086</v>
      </c>
      <c r="BC48" s="4">
        <f t="shared" si="22"/>
        <v>24.329840947130126</v>
      </c>
      <c r="BD48" s="4">
        <f t="shared" si="22"/>
        <v>25.681043153932471</v>
      </c>
      <c r="BE48" s="4">
        <f t="shared" si="22"/>
        <v>27.540836007551839</v>
      </c>
      <c r="BF48" s="4">
        <f t="shared" si="22"/>
        <v>20.63172526089101</v>
      </c>
      <c r="BG48" s="4">
        <f t="shared" si="22"/>
        <v>20.618397313953629</v>
      </c>
      <c r="BH48" s="4">
        <f t="shared" si="22"/>
        <v>23.973407299570166</v>
      </c>
      <c r="BI48" s="4">
        <f t="shared" ref="BI48:BZ48" si="23">SUM(BI26:BI47)</f>
        <v>18.487740803509958</v>
      </c>
      <c r="BJ48" s="4">
        <f t="shared" si="23"/>
        <v>25.330304897004602</v>
      </c>
      <c r="BK48" s="4">
        <f t="shared" si="23"/>
        <v>19.50813582305922</v>
      </c>
      <c r="BL48" s="4">
        <f t="shared" si="23"/>
        <v>23.024658209827514</v>
      </c>
      <c r="BM48" s="4">
        <f t="shared" si="23"/>
        <v>22.073605868310153</v>
      </c>
      <c r="BN48" s="4">
        <f t="shared" si="23"/>
        <v>20.897058894074942</v>
      </c>
      <c r="BO48" s="4">
        <f t="shared" si="23"/>
        <v>20.975882906715778</v>
      </c>
      <c r="BP48" s="4">
        <f t="shared" si="23"/>
        <v>27.917635959899417</v>
      </c>
      <c r="BQ48" s="4">
        <f t="shared" si="23"/>
        <v>28.489983818461955</v>
      </c>
      <c r="BR48" s="4">
        <f t="shared" si="23"/>
        <v>26.722405069281905</v>
      </c>
      <c r="BS48" s="4">
        <f t="shared" si="23"/>
        <v>26.613499806964754</v>
      </c>
      <c r="BT48" s="4">
        <f t="shared" si="23"/>
        <v>24.748154959108241</v>
      </c>
      <c r="BU48" s="4">
        <f t="shared" si="23"/>
        <v>33.285694059325706</v>
      </c>
      <c r="BV48" s="4">
        <f t="shared" si="23"/>
        <v>26.917548510336076</v>
      </c>
      <c r="BW48" s="4">
        <f t="shared" si="23"/>
        <v>27.428282038909867</v>
      </c>
      <c r="BX48" s="4">
        <f t="shared" si="23"/>
        <v>23.713789328837574</v>
      </c>
      <c r="BY48" s="4">
        <f t="shared" si="23"/>
        <v>21.441059459425063</v>
      </c>
      <c r="BZ48" s="4">
        <f t="shared" si="23"/>
        <v>31.085335260665804</v>
      </c>
      <c r="CE48" s="3"/>
      <c r="CF48" s="3"/>
      <c r="CG48" s="3"/>
      <c r="CH48" s="3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1"/>
    </row>
    <row r="49" spans="1:104" x14ac:dyDescent="0.2">
      <c r="A49" s="13"/>
      <c r="B49" s="1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Q49" s="2"/>
      <c r="R49" s="2"/>
      <c r="S49" s="2"/>
      <c r="T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E49" s="3"/>
      <c r="CF49" s="3"/>
      <c r="CG49" s="3"/>
      <c r="CH49" s="3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1"/>
    </row>
    <row r="50" spans="1:104" x14ac:dyDescent="0.2">
      <c r="A50" s="12"/>
      <c r="B50" s="1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Q50" s="2"/>
      <c r="R50" s="2"/>
      <c r="S50" s="2"/>
      <c r="T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E50" s="3"/>
      <c r="CF50" s="3"/>
      <c r="CG50" s="3"/>
      <c r="CH50" s="3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1"/>
    </row>
    <row r="51" spans="1:104" x14ac:dyDescent="0.2">
      <c r="A51" s="12"/>
      <c r="B51" s="1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Q51" s="2"/>
      <c r="R51" s="2"/>
      <c r="S51" s="2"/>
      <c r="T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E51" s="3"/>
      <c r="CF51" s="3"/>
      <c r="CG51" s="3"/>
      <c r="CH51" s="3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1"/>
    </row>
    <row r="52" spans="1:104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Q52" s="2"/>
      <c r="R52" s="2"/>
      <c r="S52" s="2"/>
      <c r="T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E52" s="3"/>
      <c r="CF52" s="3"/>
      <c r="CG52" s="3"/>
      <c r="CH52" s="3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1"/>
    </row>
    <row r="53" spans="1:104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Q53" s="2"/>
      <c r="R53" s="2"/>
      <c r="S53" s="2"/>
      <c r="T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E53" s="3"/>
      <c r="CF53" s="3"/>
      <c r="CG53" s="3"/>
      <c r="CH53" s="3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1"/>
    </row>
    <row r="54" spans="1:104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Q54" s="2"/>
      <c r="R54" s="2"/>
      <c r="S54" s="2"/>
      <c r="T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E54" s="3"/>
      <c r="CF54" s="3"/>
      <c r="CG54" s="3"/>
      <c r="CH54" s="3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1"/>
    </row>
    <row r="55" spans="1:104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Q55" s="2"/>
      <c r="R55" s="2"/>
      <c r="S55" s="2"/>
      <c r="T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E55" s="3"/>
      <c r="CF55" s="3"/>
      <c r="CG55" s="3"/>
      <c r="CH55" s="3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1"/>
    </row>
    <row r="56" spans="1:104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Q56" s="2"/>
      <c r="R56" s="2"/>
      <c r="S56" s="2"/>
      <c r="T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E56" s="3"/>
      <c r="CF56" s="3"/>
      <c r="CG56" s="3"/>
      <c r="CH56" s="3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1"/>
    </row>
    <row r="57" spans="1:104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Q57" s="2"/>
      <c r="R57" s="2"/>
      <c r="S57" s="2"/>
      <c r="T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E57" s="3"/>
      <c r="CF57" s="3"/>
      <c r="CG57" s="3"/>
      <c r="CH57" s="3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1"/>
    </row>
  </sheetData>
  <conditionalFormatting sqref="D1">
    <cfRule type="duplicateValues" dxfId="20" priority="11"/>
    <cfRule type="duplicateValues" dxfId="19" priority="12"/>
  </conditionalFormatting>
  <conditionalFormatting sqref="D2">
    <cfRule type="duplicateValues" dxfId="18" priority="6"/>
  </conditionalFormatting>
  <conditionalFormatting sqref="D3:D57">
    <cfRule type="duplicateValues" dxfId="17" priority="18"/>
  </conditionalFormatting>
  <conditionalFormatting sqref="E1">
    <cfRule type="duplicateValues" dxfId="16" priority="9"/>
    <cfRule type="duplicateValues" dxfId="15" priority="10"/>
  </conditionalFormatting>
  <conditionalFormatting sqref="E2">
    <cfRule type="duplicateValues" dxfId="14" priority="5"/>
  </conditionalFormatting>
  <conditionalFormatting sqref="E3:E57">
    <cfRule type="duplicateValues" dxfId="13" priority="17"/>
  </conditionalFormatting>
  <conditionalFormatting sqref="U2:X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3:X57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1:AB57">
    <cfRule type="cellIs" dxfId="12" priority="3" operator="lessThan">
      <formula>0.05</formula>
    </cfRule>
  </conditionalFormatting>
  <conditionalFormatting sqref="CA2:CD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3:CD57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E1:CH57">
    <cfRule type="cellIs" dxfId="11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721-0466-41AA-998C-CF6EDD94BA06}">
  <dimension ref="A1:CZ132"/>
  <sheetViews>
    <sheetView workbookViewId="0">
      <selection sqref="A1:XFD1048576"/>
    </sheetView>
  </sheetViews>
  <sheetFormatPr baseColWidth="10" defaultColWidth="8.83203125" defaultRowHeight="15" x14ac:dyDescent="0.2"/>
  <cols>
    <col min="4" max="4" width="18.1640625" customWidth="1"/>
    <col min="5" max="5" width="25.1640625" customWidth="1"/>
    <col min="6" max="6" width="29.6640625" customWidth="1"/>
    <col min="7" max="7" width="30.6640625" customWidth="1"/>
    <col min="29" max="29" width="10.83203125" bestFit="1" customWidth="1"/>
  </cols>
  <sheetData>
    <row r="1" spans="1:104" x14ac:dyDescent="0.2">
      <c r="A1" t="s">
        <v>155</v>
      </c>
      <c r="B1" t="s">
        <v>154</v>
      </c>
      <c r="C1" t="s">
        <v>153</v>
      </c>
      <c r="D1" t="s">
        <v>152</v>
      </c>
      <c r="E1" t="s">
        <v>151</v>
      </c>
      <c r="F1" t="s">
        <v>150</v>
      </c>
      <c r="G1" t="s">
        <v>149</v>
      </c>
      <c r="H1" t="s">
        <v>148</v>
      </c>
      <c r="I1" t="s">
        <v>147</v>
      </c>
      <c r="J1" t="s">
        <v>146</v>
      </c>
      <c r="K1" t="s">
        <v>145</v>
      </c>
      <c r="L1" t="s">
        <v>144</v>
      </c>
      <c r="M1" t="s">
        <v>143</v>
      </c>
      <c r="N1" t="s">
        <v>142</v>
      </c>
      <c r="O1" s="10" t="s">
        <v>141</v>
      </c>
      <c r="P1" s="10" t="s">
        <v>140</v>
      </c>
      <c r="Q1" s="10" t="s">
        <v>139</v>
      </c>
      <c r="R1" t="s">
        <v>138</v>
      </c>
      <c r="S1" t="s">
        <v>137</v>
      </c>
      <c r="T1" t="s">
        <v>136</v>
      </c>
      <c r="U1" s="9" t="s">
        <v>135</v>
      </c>
      <c r="V1" s="9" t="s">
        <v>134</v>
      </c>
      <c r="W1" s="9" t="s">
        <v>133</v>
      </c>
      <c r="X1" s="9" t="s">
        <v>132</v>
      </c>
      <c r="Y1" s="9" t="s">
        <v>131</v>
      </c>
      <c r="Z1" s="9" t="s">
        <v>130</v>
      </c>
      <c r="AA1" s="9" t="s">
        <v>129</v>
      </c>
      <c r="AB1" s="9" t="s">
        <v>128</v>
      </c>
      <c r="AC1" t="s">
        <v>127</v>
      </c>
      <c r="AD1" t="s">
        <v>127</v>
      </c>
      <c r="AE1" t="s">
        <v>127</v>
      </c>
      <c r="AF1" t="s">
        <v>127</v>
      </c>
      <c r="AG1" t="s">
        <v>127</v>
      </c>
      <c r="AH1" t="s">
        <v>126</v>
      </c>
      <c r="AI1" t="s">
        <v>126</v>
      </c>
      <c r="AJ1" t="s">
        <v>126</v>
      </c>
      <c r="AK1" t="s">
        <v>126</v>
      </c>
      <c r="AL1" t="s">
        <v>126</v>
      </c>
      <c r="AM1" t="s">
        <v>125</v>
      </c>
      <c r="AN1" t="s">
        <v>125</v>
      </c>
      <c r="AO1" t="s">
        <v>125</v>
      </c>
      <c r="AP1" t="s">
        <v>125</v>
      </c>
      <c r="AQ1" t="s">
        <v>125</v>
      </c>
      <c r="AR1" t="s">
        <v>124</v>
      </c>
      <c r="AS1" t="s">
        <v>124</v>
      </c>
      <c r="AT1" t="s">
        <v>124</v>
      </c>
      <c r="AU1" t="s">
        <v>124</v>
      </c>
      <c r="AV1" t="s">
        <v>124</v>
      </c>
      <c r="AW1" t="s">
        <v>123</v>
      </c>
      <c r="AX1" t="s">
        <v>123</v>
      </c>
      <c r="AY1" t="s">
        <v>123</v>
      </c>
      <c r="AZ1" t="s">
        <v>123</v>
      </c>
      <c r="BA1" t="s">
        <v>123</v>
      </c>
      <c r="BB1" t="s">
        <v>122</v>
      </c>
      <c r="BC1" t="s">
        <v>122</v>
      </c>
      <c r="BD1" t="s">
        <v>122</v>
      </c>
      <c r="BE1" t="s">
        <v>122</v>
      </c>
      <c r="BF1" t="s">
        <v>122</v>
      </c>
      <c r="BG1" t="s">
        <v>121</v>
      </c>
      <c r="BH1" t="s">
        <v>121</v>
      </c>
      <c r="BI1" t="s">
        <v>121</v>
      </c>
      <c r="BJ1" t="s">
        <v>121</v>
      </c>
      <c r="BK1" t="s">
        <v>121</v>
      </c>
      <c r="BL1" t="s">
        <v>120</v>
      </c>
      <c r="BM1" t="s">
        <v>120</v>
      </c>
      <c r="BN1" t="s">
        <v>120</v>
      </c>
      <c r="BO1" t="s">
        <v>120</v>
      </c>
      <c r="BP1" t="s">
        <v>120</v>
      </c>
      <c r="BQ1" t="s">
        <v>119</v>
      </c>
      <c r="BR1" t="s">
        <v>119</v>
      </c>
      <c r="BS1" t="s">
        <v>119</v>
      </c>
      <c r="BT1" t="s">
        <v>119</v>
      </c>
      <c r="BU1" t="s">
        <v>119</v>
      </c>
      <c r="BV1" t="s">
        <v>118</v>
      </c>
      <c r="BW1" t="s">
        <v>118</v>
      </c>
      <c r="BX1" t="s">
        <v>118</v>
      </c>
      <c r="BY1" t="s">
        <v>118</v>
      </c>
      <c r="BZ1" t="s">
        <v>118</v>
      </c>
      <c r="CA1" s="9" t="s">
        <v>117</v>
      </c>
      <c r="CB1" s="9" t="s">
        <v>116</v>
      </c>
      <c r="CC1" s="9" t="s">
        <v>115</v>
      </c>
      <c r="CD1" s="9" t="s">
        <v>114</v>
      </c>
      <c r="CE1" s="9" t="s">
        <v>113</v>
      </c>
      <c r="CF1" s="9" t="s">
        <v>112</v>
      </c>
      <c r="CG1" s="9" t="s">
        <v>111</v>
      </c>
      <c r="CH1" s="9" t="s">
        <v>110</v>
      </c>
      <c r="CI1" s="7" t="s">
        <v>109</v>
      </c>
      <c r="CJ1" s="7" t="s">
        <v>108</v>
      </c>
      <c r="CK1" s="7" t="s">
        <v>107</v>
      </c>
      <c r="CL1" s="7" t="s">
        <v>106</v>
      </c>
      <c r="CM1" s="7" t="s">
        <v>105</v>
      </c>
      <c r="CN1" s="7" t="s">
        <v>104</v>
      </c>
      <c r="CO1" s="7" t="s">
        <v>103</v>
      </c>
      <c r="CP1" s="7" t="s">
        <v>102</v>
      </c>
      <c r="CQ1" s="7" t="s">
        <v>101</v>
      </c>
      <c r="CR1" s="7" t="s">
        <v>100</v>
      </c>
      <c r="CS1" s="7" t="s">
        <v>99</v>
      </c>
      <c r="CT1" s="8" t="s">
        <v>98</v>
      </c>
      <c r="CU1" s="7" t="s">
        <v>97</v>
      </c>
      <c r="CV1" s="7" t="s">
        <v>96</v>
      </c>
      <c r="CW1" s="7" t="s">
        <v>95</v>
      </c>
      <c r="CX1" s="7" t="s">
        <v>94</v>
      </c>
      <c r="CY1" s="7" t="s">
        <v>93</v>
      </c>
      <c r="CZ1" s="7" t="s">
        <v>92</v>
      </c>
    </row>
    <row r="2" spans="1:104" x14ac:dyDescent="0.2">
      <c r="A2">
        <v>7209</v>
      </c>
      <c r="B2" s="2">
        <v>160</v>
      </c>
      <c r="C2" s="2" t="s">
        <v>8</v>
      </c>
      <c r="D2" s="2" t="s">
        <v>310</v>
      </c>
      <c r="E2" s="2" t="s">
        <v>309</v>
      </c>
      <c r="F2" s="2" t="s">
        <v>308</v>
      </c>
      <c r="G2" s="2" t="s">
        <v>307</v>
      </c>
      <c r="H2" s="2">
        <v>1</v>
      </c>
      <c r="I2" s="2" t="s">
        <v>306</v>
      </c>
      <c r="J2" s="2">
        <v>798.61229000000003</v>
      </c>
      <c r="K2" s="2">
        <v>798.6123</v>
      </c>
      <c r="L2" s="2">
        <v>797.60391660000005</v>
      </c>
      <c r="M2" s="2">
        <v>4.7869999999999999</v>
      </c>
      <c r="N2" s="2">
        <v>4.79</v>
      </c>
      <c r="O2" s="2"/>
      <c r="P2" s="6" t="s">
        <v>87</v>
      </c>
      <c r="Q2" s="2"/>
      <c r="R2" s="2">
        <v>1</v>
      </c>
      <c r="S2" s="2" t="s">
        <v>2</v>
      </c>
      <c r="T2" s="2" t="s">
        <v>1</v>
      </c>
      <c r="U2">
        <f t="shared" ref="U2:U34" si="0">LOG((MEDIAN(AH2:AL2)/MEDIAN(AC2:AG2)),2)</f>
        <v>-0.12376146931565149</v>
      </c>
      <c r="V2">
        <f t="shared" ref="V2:V34" si="1">LOG((MEDIAN(AM2:AQ2)/MEDIAN(AC2:AG2)),2)</f>
        <v>-0.10109279452658135</v>
      </c>
      <c r="W2">
        <f t="shared" ref="W2:W34" si="2">LOG((MEDIAN(AR2:AV2)/MEDIAN(AC2:AG2)),2)</f>
        <v>-4.5619013510861214E-2</v>
      </c>
      <c r="X2">
        <f t="shared" ref="X2:X34" si="3">LOG((MEDIAN(AW2:BA2)/MEDIAN(AC2:AG2)),2)</f>
        <v>-0.12984943588605591</v>
      </c>
      <c r="Y2">
        <f t="shared" ref="Y2:Y34" si="4">TTEST(AC2:AG2,AH2:AL2,2,2)</f>
        <v>7.6430199466611976E-2</v>
      </c>
      <c r="Z2">
        <f t="shared" ref="Z2:Z34" si="5">TTEST(AC2:AG2,AM2:AQ2,2,2)</f>
        <v>0.36058902909340101</v>
      </c>
      <c r="AA2">
        <f t="shared" ref="AA2:AA34" si="6">TTEST(AC2:AG2,AR2:AV2,2,2)</f>
        <v>0.51439475545081415</v>
      </c>
      <c r="AB2">
        <f t="shared" ref="AB2:AB34" si="7">TTEST(AC2:AG2,AW2:BA2,2,2)</f>
        <v>0.10902194096601102</v>
      </c>
      <c r="AC2" s="2">
        <v>766006.97685004398</v>
      </c>
      <c r="AD2" s="2">
        <v>774929.44697455305</v>
      </c>
      <c r="AE2" s="2">
        <v>792619.60205621901</v>
      </c>
      <c r="AF2" s="2">
        <v>682763.15315350005</v>
      </c>
      <c r="AG2" s="2">
        <v>738393.19088033505</v>
      </c>
      <c r="AH2" s="2">
        <v>721211.93809139798</v>
      </c>
      <c r="AI2" s="2">
        <v>697426.63820167806</v>
      </c>
      <c r="AJ2" s="2">
        <v>703034.78004868201</v>
      </c>
      <c r="AK2" s="2">
        <v>659373.29406641296</v>
      </c>
      <c r="AL2" s="2">
        <v>737439.68141736696</v>
      </c>
      <c r="AM2" s="2">
        <v>660718.509995742</v>
      </c>
      <c r="AN2" s="2">
        <v>789864.05003603199</v>
      </c>
      <c r="AO2" s="2">
        <v>707233.91620096797</v>
      </c>
      <c r="AP2" s="2">
        <v>714168.61673968297</v>
      </c>
      <c r="AQ2" s="2">
        <v>743677.85050837905</v>
      </c>
      <c r="AR2" s="2">
        <v>742164.25549711206</v>
      </c>
      <c r="AS2" s="2">
        <v>663743.11083474394</v>
      </c>
      <c r="AT2" s="2">
        <v>771151.88393597701</v>
      </c>
      <c r="AU2" s="2">
        <v>764932.19459520804</v>
      </c>
      <c r="AV2" s="2">
        <v>719699.18748178205</v>
      </c>
      <c r="AW2" s="2">
        <v>731598.786614215</v>
      </c>
      <c r="AX2" s="2">
        <v>669212.26858588599</v>
      </c>
      <c r="AY2" s="2">
        <v>700074.32464886503</v>
      </c>
      <c r="AZ2" s="2">
        <v>749062.59653756896</v>
      </c>
      <c r="BA2" s="2">
        <v>688090.40001479699</v>
      </c>
      <c r="BB2" s="2">
        <v>744739.49540252995</v>
      </c>
      <c r="BC2" s="2">
        <v>703951.14213671396</v>
      </c>
      <c r="BD2" s="2">
        <v>653203.08190169197</v>
      </c>
      <c r="BE2" s="2">
        <v>649624.67481847701</v>
      </c>
      <c r="BF2" s="2">
        <v>713396.51320225699</v>
      </c>
      <c r="BG2" s="2">
        <v>753288.29302898701</v>
      </c>
      <c r="BH2" s="2">
        <v>757972.08250342298</v>
      </c>
      <c r="BI2" s="2">
        <v>701921.53136315604</v>
      </c>
      <c r="BJ2" s="2">
        <v>761870.41997359903</v>
      </c>
      <c r="BK2" s="2">
        <v>723858.77556096797</v>
      </c>
      <c r="BL2" s="2">
        <v>697542.52915484796</v>
      </c>
      <c r="BM2" s="2">
        <v>730574.31841880397</v>
      </c>
      <c r="BN2" s="2">
        <v>799024.14851459605</v>
      </c>
      <c r="BO2" s="2">
        <v>745959.038109652</v>
      </c>
      <c r="BP2" s="2">
        <v>668340.47864375496</v>
      </c>
      <c r="BQ2" s="2">
        <v>660277.24517385801</v>
      </c>
      <c r="BR2" s="2">
        <v>720718.65091590397</v>
      </c>
      <c r="BS2" s="2">
        <v>747386.77394686802</v>
      </c>
      <c r="BT2" s="2">
        <v>798085.51237211598</v>
      </c>
      <c r="BU2" s="2">
        <v>667039.43267638294</v>
      </c>
      <c r="BV2" s="2">
        <v>703264.15127850603</v>
      </c>
      <c r="BW2" s="2">
        <v>693299.50626424397</v>
      </c>
      <c r="BX2" s="2">
        <v>741244.584704721</v>
      </c>
      <c r="BY2" s="2">
        <v>759551.09516978997</v>
      </c>
      <c r="BZ2" s="2">
        <v>649622.96080931497</v>
      </c>
      <c r="CA2">
        <f t="shared" ref="CA2:CA34" si="8">LOG((MEDIAN(BG2:BK2)/MEDIAN(BB2:BF2)),2)</f>
        <v>9.7726806543117453E-2</v>
      </c>
      <c r="CB2">
        <f t="shared" ref="CB2:CB34" si="9">LOG((MEDIAN(BL2:BP2)/MEDIAN(BB2:BF2)),2)</f>
        <v>5.3555738307906858E-2</v>
      </c>
      <c r="CC2">
        <f t="shared" ref="CC2:CC34" si="10">LOG((MEDIAN(BQ2:BU2)/MEDIAN(BB2:BF2)),2)</f>
        <v>3.3960878396161402E-2</v>
      </c>
      <c r="CD2">
        <f t="shared" ref="CD2:CD34" si="11">LOG((MEDIAN(BV2:BZ2)/MEDIAN(BB2:BF2)),2)</f>
        <v>-1.4086236663978134E-3</v>
      </c>
      <c r="CE2" s="3">
        <f t="shared" ref="CE2:CE34" si="12">TTEST(BB2:BF2,BG2:BK2,2,2)</f>
        <v>6.253859443114422E-2</v>
      </c>
      <c r="CF2" s="3">
        <f t="shared" ref="CF2:CF34" si="13">TTEST(BB2:BF2,BL2:BP2,2,2)</f>
        <v>0.25443907474716582</v>
      </c>
      <c r="CG2" s="3">
        <f t="shared" ref="CG2:CG34" si="14">TTEST(BB2:BF2,BQ2:BU2,2,2)</f>
        <v>0.43836071261756204</v>
      </c>
      <c r="CH2" s="3">
        <f t="shared" ref="CH2:CH34" si="15">TTEST(BB2:BF2,BV2:BZ2,2,2)</f>
        <v>0.55334286102510921</v>
      </c>
      <c r="CI2" s="2">
        <v>758195.81025056797</v>
      </c>
      <c r="CJ2" s="2">
        <v>778094.04000574304</v>
      </c>
      <c r="CK2" s="2">
        <v>764294.40748941898</v>
      </c>
      <c r="CL2" s="2">
        <v>688121.58046395495</v>
      </c>
      <c r="CM2" s="2">
        <v>712656.98088988196</v>
      </c>
      <c r="CN2" s="2">
        <v>757287.25507093698</v>
      </c>
      <c r="CO2" s="2">
        <v>731024.69089382095</v>
      </c>
      <c r="CP2" s="2">
        <v>684018.84323493403</v>
      </c>
      <c r="CQ2" s="2">
        <v>690358.17640172504</v>
      </c>
      <c r="CR2" s="2">
        <v>727227.17832883599</v>
      </c>
      <c r="CS2" s="2">
        <v>695620.34415770299</v>
      </c>
      <c r="CT2" s="2">
        <v>758374.44004398002</v>
      </c>
      <c r="CU2" s="2">
        <v>219.26799650309101</v>
      </c>
      <c r="CV2" s="2">
        <v>217.11951046179701</v>
      </c>
      <c r="CW2" s="2">
        <v>219.95453507117099</v>
      </c>
      <c r="CX2" s="2">
        <v>259.91597745613399</v>
      </c>
      <c r="CY2" s="2">
        <v>241.42309961125801</v>
      </c>
      <c r="CZ2" s="1">
        <v>246.02801659981199</v>
      </c>
    </row>
    <row r="3" spans="1:104" x14ac:dyDescent="0.2">
      <c r="A3">
        <v>7318</v>
      </c>
      <c r="B3" s="2">
        <v>144</v>
      </c>
      <c r="C3" s="2" t="s">
        <v>8</v>
      </c>
      <c r="D3" s="2" t="s">
        <v>305</v>
      </c>
      <c r="E3" s="2" t="s">
        <v>304</v>
      </c>
      <c r="F3" s="2" t="s">
        <v>303</v>
      </c>
      <c r="G3" s="2" t="s">
        <v>302</v>
      </c>
      <c r="H3" s="2">
        <v>2</v>
      </c>
      <c r="I3" s="2" t="s">
        <v>301</v>
      </c>
      <c r="J3" s="2">
        <v>751.53638000000001</v>
      </c>
      <c r="K3" s="2">
        <v>751.53639999999996</v>
      </c>
      <c r="L3" s="2">
        <v>750.52800660000003</v>
      </c>
      <c r="M3" s="2">
        <v>4.3520000000000003</v>
      </c>
      <c r="N3" s="2">
        <v>4.3499999999999996</v>
      </c>
      <c r="O3" s="2">
        <v>0.90871109254230198</v>
      </c>
      <c r="P3" s="5" t="s">
        <v>157</v>
      </c>
      <c r="Q3" s="2">
        <v>4.7869999999999999</v>
      </c>
      <c r="R3" s="2">
        <v>1</v>
      </c>
      <c r="S3" s="2" t="s">
        <v>2</v>
      </c>
      <c r="T3" s="2" t="s">
        <v>1</v>
      </c>
      <c r="U3">
        <f t="shared" si="0"/>
        <v>2.5884264553939804E-2</v>
      </c>
      <c r="V3">
        <f t="shared" si="1"/>
        <v>8.1894144356734366E-2</v>
      </c>
      <c r="W3">
        <f t="shared" si="2"/>
        <v>0.10103779436237352</v>
      </c>
      <c r="X3">
        <f t="shared" si="3"/>
        <v>-4.7341775805472873E-3</v>
      </c>
      <c r="Y3">
        <f t="shared" si="4"/>
        <v>0.81192267647124017</v>
      </c>
      <c r="Z3">
        <f t="shared" si="5"/>
        <v>0.43910265901098233</v>
      </c>
      <c r="AA3">
        <f t="shared" si="6"/>
        <v>0.74740857806699834</v>
      </c>
      <c r="AB3">
        <f t="shared" si="7"/>
        <v>0.82423466212132479</v>
      </c>
      <c r="AC3" s="2">
        <v>70781.933267165907</v>
      </c>
      <c r="AD3" s="2">
        <v>64802.259312458998</v>
      </c>
      <c r="AE3" s="2">
        <v>77475.121380517798</v>
      </c>
      <c r="AF3" s="2">
        <v>83518.5186480134</v>
      </c>
      <c r="AG3" s="2">
        <v>65418.010477630101</v>
      </c>
      <c r="AH3" s="2">
        <v>81352.209028310899</v>
      </c>
      <c r="AI3" s="2">
        <v>72063.335588312999</v>
      </c>
      <c r="AJ3" s="2">
        <v>68382.176213469298</v>
      </c>
      <c r="AK3" s="2">
        <v>70595.269733282097</v>
      </c>
      <c r="AL3" s="2">
        <v>74809.2288493901</v>
      </c>
      <c r="AM3" s="2">
        <v>140490.64901090699</v>
      </c>
      <c r="AN3" s="2">
        <v>65773.805279659893</v>
      </c>
      <c r="AO3" s="2">
        <v>63108.704480695298</v>
      </c>
      <c r="AP3" s="2">
        <v>77675.080305629905</v>
      </c>
      <c r="AQ3" s="2">
        <v>74916.0747430638</v>
      </c>
      <c r="AR3" s="2">
        <v>66359.145773736804</v>
      </c>
      <c r="AS3" s="2">
        <v>91902.026058593096</v>
      </c>
      <c r="AT3" s="2">
        <v>34039.946375908403</v>
      </c>
      <c r="AU3" s="2">
        <v>75916.7883698191</v>
      </c>
      <c r="AV3" s="2">
        <v>76623.229463602795</v>
      </c>
      <c r="AW3" s="2">
        <v>81432.046071595803</v>
      </c>
      <c r="AX3" s="2">
        <v>75643.617820165498</v>
      </c>
      <c r="AY3" s="2">
        <v>70550.044316167099</v>
      </c>
      <c r="AZ3" s="2">
        <v>65934.840839757802</v>
      </c>
      <c r="BA3" s="2">
        <v>62804.738753461002</v>
      </c>
      <c r="BB3" s="2">
        <v>84026.374652665807</v>
      </c>
      <c r="BC3" s="2">
        <v>67012.683836784694</v>
      </c>
      <c r="BD3" s="2">
        <v>90209.1246067139</v>
      </c>
      <c r="BE3" s="2">
        <v>80645.089298317602</v>
      </c>
      <c r="BF3" s="2">
        <v>61031.821341501403</v>
      </c>
      <c r="BG3" s="2">
        <v>70057.555496229499</v>
      </c>
      <c r="BH3" s="2">
        <v>62146.014255658403</v>
      </c>
      <c r="BI3" s="2">
        <v>66500.940482007994</v>
      </c>
      <c r="BJ3" s="2">
        <v>74859.460152558793</v>
      </c>
      <c r="BK3" s="2">
        <v>63959.932322722299</v>
      </c>
      <c r="BL3" s="2">
        <v>78057.867061398007</v>
      </c>
      <c r="BM3" s="2">
        <v>67330.495266411497</v>
      </c>
      <c r="BN3" s="2">
        <v>63351.901930185399</v>
      </c>
      <c r="BO3" s="2">
        <v>64878.729770333703</v>
      </c>
      <c r="BP3" s="2">
        <v>78322.157605298795</v>
      </c>
      <c r="BQ3" s="2">
        <v>87338.259908568507</v>
      </c>
      <c r="BR3" s="2">
        <v>75564.954506251597</v>
      </c>
      <c r="BS3" s="2">
        <v>74522.285042938398</v>
      </c>
      <c r="BT3" s="2">
        <v>70381.675181058599</v>
      </c>
      <c r="BU3" s="2">
        <v>83221.112720609701</v>
      </c>
      <c r="BV3" s="2">
        <v>72445.236197502294</v>
      </c>
      <c r="BW3" s="2">
        <v>66900.054332888103</v>
      </c>
      <c r="BX3" s="2">
        <v>65753.441376166593</v>
      </c>
      <c r="BY3" s="2">
        <v>64016.902800688302</v>
      </c>
      <c r="BZ3" s="2">
        <v>81833.766396208302</v>
      </c>
      <c r="CA3">
        <f t="shared" si="8"/>
        <v>-0.27821194247044739</v>
      </c>
      <c r="CB3">
        <f t="shared" si="9"/>
        <v>-0.2603266094050582</v>
      </c>
      <c r="CC3">
        <f t="shared" si="10"/>
        <v>-9.38693895332674E-2</v>
      </c>
      <c r="CD3">
        <f t="shared" si="11"/>
        <v>-0.26957930382734768</v>
      </c>
      <c r="CE3" s="3">
        <f t="shared" si="12"/>
        <v>0.16174882198117141</v>
      </c>
      <c r="CF3" s="3">
        <f t="shared" si="13"/>
        <v>0.35644806343541763</v>
      </c>
      <c r="CG3" s="3">
        <f t="shared" si="14"/>
        <v>0.80195852413924917</v>
      </c>
      <c r="CH3" s="3">
        <f t="shared" si="15"/>
        <v>0.34162205832104564</v>
      </c>
      <c r="CI3" s="2">
        <v>44687.7697533213</v>
      </c>
      <c r="CJ3" s="2">
        <v>49027.7143705825</v>
      </c>
      <c r="CK3" s="2">
        <v>53763.410275337803</v>
      </c>
      <c r="CL3" s="2">
        <v>51624.121974742498</v>
      </c>
      <c r="CM3" s="2">
        <v>78771.189209861797</v>
      </c>
      <c r="CN3" s="2">
        <v>67993.845712319293</v>
      </c>
      <c r="CO3" s="2">
        <v>74056.888759131194</v>
      </c>
      <c r="CP3" s="2">
        <v>65590.118055294399</v>
      </c>
      <c r="CQ3" s="2">
        <v>80155.982791510294</v>
      </c>
      <c r="CR3" s="2">
        <v>67573.094763339395</v>
      </c>
      <c r="CS3" s="2">
        <v>78437.742040510901</v>
      </c>
      <c r="CT3" s="2">
        <v>71469.183625243197</v>
      </c>
      <c r="CU3" s="2">
        <v>212.92172923172299</v>
      </c>
      <c r="CV3" s="2">
        <v>218.98607414934</v>
      </c>
      <c r="CW3" s="2">
        <v>176.012576197079</v>
      </c>
      <c r="CX3" s="2">
        <v>224.622569344461</v>
      </c>
      <c r="CY3" s="2">
        <v>205.93011986853199</v>
      </c>
      <c r="CZ3" s="1">
        <v>214.07666481756701</v>
      </c>
    </row>
    <row r="4" spans="1:104" x14ac:dyDescent="0.2">
      <c r="A4">
        <v>7317</v>
      </c>
      <c r="B4" s="2">
        <v>142</v>
      </c>
      <c r="C4" s="2" t="s">
        <v>8</v>
      </c>
      <c r="D4" s="2" t="s">
        <v>300</v>
      </c>
      <c r="E4" s="2" t="s">
        <v>299</v>
      </c>
      <c r="F4" s="2" t="s">
        <v>298</v>
      </c>
      <c r="G4" s="2" t="s">
        <v>297</v>
      </c>
      <c r="H4" s="2">
        <v>2</v>
      </c>
      <c r="I4" s="2" t="s">
        <v>296</v>
      </c>
      <c r="J4" s="2">
        <v>779.56831</v>
      </c>
      <c r="K4" s="2">
        <v>779.56830000000002</v>
      </c>
      <c r="L4" s="2">
        <v>778.55993660000001</v>
      </c>
      <c r="M4" s="2">
        <v>5.1710000000000003</v>
      </c>
      <c r="N4" s="2">
        <v>5.17</v>
      </c>
      <c r="O4" s="2">
        <v>1.0800083559640694</v>
      </c>
      <c r="P4" s="5" t="s">
        <v>157</v>
      </c>
      <c r="Q4" s="2">
        <v>4.7869999999999999</v>
      </c>
      <c r="R4" s="2">
        <v>1</v>
      </c>
      <c r="S4" s="2" t="s">
        <v>2</v>
      </c>
      <c r="T4" s="2" t="s">
        <v>1</v>
      </c>
      <c r="U4">
        <f t="shared" si="0"/>
        <v>0.11297241925423764</v>
      </c>
      <c r="V4">
        <f t="shared" si="1"/>
        <v>8.9429939337802869E-2</v>
      </c>
      <c r="W4">
        <f t="shared" si="2"/>
        <v>0.16588140080703681</v>
      </c>
      <c r="X4">
        <f t="shared" si="3"/>
        <v>-3.6661058010534951E-2</v>
      </c>
      <c r="Y4">
        <f t="shared" si="4"/>
        <v>0.12777290166666394</v>
      </c>
      <c r="Z4">
        <f t="shared" si="5"/>
        <v>0.32286113116838927</v>
      </c>
      <c r="AA4">
        <f t="shared" si="6"/>
        <v>0.78933259590900484</v>
      </c>
      <c r="AB4">
        <f t="shared" si="7"/>
        <v>0.80487169646951628</v>
      </c>
      <c r="AC4" s="2">
        <v>700927.75843560696</v>
      </c>
      <c r="AD4" s="2">
        <v>813396.12982285803</v>
      </c>
      <c r="AE4" s="2">
        <v>730132.34149337397</v>
      </c>
      <c r="AF4" s="2">
        <v>713449.35409388295</v>
      </c>
      <c r="AG4" s="2">
        <v>746186.96652861102</v>
      </c>
      <c r="AH4" s="2">
        <v>730903.85233805899</v>
      </c>
      <c r="AI4" s="2">
        <v>805796.32546725997</v>
      </c>
      <c r="AJ4" s="2">
        <v>767619.59334183403</v>
      </c>
      <c r="AK4" s="2">
        <v>888079.43935256603</v>
      </c>
      <c r="AL4" s="2">
        <v>789604.605905178</v>
      </c>
      <c r="AM4" s="2">
        <v>1162920.07250018</v>
      </c>
      <c r="AN4" s="2">
        <v>624295.46316446504</v>
      </c>
      <c r="AO4" s="2">
        <v>760226.35524057294</v>
      </c>
      <c r="AP4" s="2">
        <v>776824.08176435903</v>
      </c>
      <c r="AQ4" s="2">
        <v>864782.93497206504</v>
      </c>
      <c r="AR4" s="2">
        <v>860719.32142920699</v>
      </c>
      <c r="AS4" s="2">
        <v>980947.77620870795</v>
      </c>
      <c r="AT4" s="2">
        <v>504227.99409883202</v>
      </c>
      <c r="AU4" s="2">
        <v>819099.88219996903</v>
      </c>
      <c r="AV4" s="2">
        <v>657167.59366909997</v>
      </c>
      <c r="AW4" s="2">
        <v>711812.33229519799</v>
      </c>
      <c r="AX4" s="2">
        <v>897147.60131392104</v>
      </c>
      <c r="AY4" s="2">
        <v>666056.89168376802</v>
      </c>
      <c r="AZ4" s="2">
        <v>653136.35038905905</v>
      </c>
      <c r="BA4" s="2">
        <v>714538.11452430103</v>
      </c>
      <c r="BB4" s="2">
        <v>930261.26298203506</v>
      </c>
      <c r="BC4" s="2">
        <v>920057.64024088602</v>
      </c>
      <c r="BD4" s="2">
        <v>1048067.38995787</v>
      </c>
      <c r="BE4" s="2">
        <v>1018016.22852453</v>
      </c>
      <c r="BF4" s="2">
        <v>757527.34877066396</v>
      </c>
      <c r="BG4" s="2">
        <v>740721.164054077</v>
      </c>
      <c r="BH4" s="2">
        <v>894158.90395841503</v>
      </c>
      <c r="BI4" s="2">
        <v>768679.16406739096</v>
      </c>
      <c r="BJ4" s="2">
        <v>769108.10476720205</v>
      </c>
      <c r="BK4" s="2">
        <v>696470.10553898697</v>
      </c>
      <c r="BL4" s="2">
        <v>846428.080782181</v>
      </c>
      <c r="BM4" s="2">
        <v>846277.39443918294</v>
      </c>
      <c r="BN4" s="2">
        <v>860806.37284294295</v>
      </c>
      <c r="BO4" s="2">
        <v>702166.80271999806</v>
      </c>
      <c r="BP4" s="2">
        <v>974742.73158808297</v>
      </c>
      <c r="BQ4" s="2">
        <v>945529.26691568096</v>
      </c>
      <c r="BR4" s="2">
        <v>816011.53912247403</v>
      </c>
      <c r="BS4" s="2">
        <v>789369.430855026</v>
      </c>
      <c r="BT4" s="2">
        <v>765795.00762901804</v>
      </c>
      <c r="BU4" s="2">
        <v>1001376.6363469</v>
      </c>
      <c r="BV4" s="2">
        <v>723850.78694810404</v>
      </c>
      <c r="BW4" s="2">
        <v>733663.45855364099</v>
      </c>
      <c r="BX4" s="2">
        <v>658495.27947666601</v>
      </c>
      <c r="BY4" s="2">
        <v>635119.32861105399</v>
      </c>
      <c r="BZ4" s="2">
        <v>789507.96896900504</v>
      </c>
      <c r="CA4">
        <f t="shared" si="8"/>
        <v>-0.27525438955891357</v>
      </c>
      <c r="CB4">
        <f t="shared" si="9"/>
        <v>-0.13624846208649175</v>
      </c>
      <c r="CC4">
        <f t="shared" si="10"/>
        <v>-0.1890463993241199</v>
      </c>
      <c r="CD4">
        <f t="shared" si="11"/>
        <v>-0.36194361875618064</v>
      </c>
      <c r="CE4" s="3">
        <f t="shared" si="12"/>
        <v>2.8639832392602236E-2</v>
      </c>
      <c r="CF4" s="3">
        <f t="shared" si="13"/>
        <v>0.22004652846508022</v>
      </c>
      <c r="CG4" s="3">
        <f t="shared" si="14"/>
        <v>0.33066648934021003</v>
      </c>
      <c r="CH4" s="3">
        <f t="shared" si="15"/>
        <v>4.3943872625433443E-3</v>
      </c>
      <c r="CI4" s="2">
        <v>514143.237513231</v>
      </c>
      <c r="CJ4" s="2">
        <v>506828.19570310699</v>
      </c>
      <c r="CK4" s="2">
        <v>540909.77544415102</v>
      </c>
      <c r="CL4" s="2">
        <v>516189.17834796698</v>
      </c>
      <c r="CM4" s="2">
        <v>823451.93903842103</v>
      </c>
      <c r="CN4" s="2">
        <v>797631.71916224703</v>
      </c>
      <c r="CO4" s="2">
        <v>813551.27700544405</v>
      </c>
      <c r="CP4" s="2">
        <v>791610.19041028002</v>
      </c>
      <c r="CQ4" s="2">
        <v>806491.80503569299</v>
      </c>
      <c r="CR4" s="2">
        <v>801752.24047307705</v>
      </c>
      <c r="CS4" s="2">
        <v>797854.36868540396</v>
      </c>
      <c r="CT4" s="2">
        <v>824726.05496844905</v>
      </c>
      <c r="CU4" s="2">
        <v>228.421339368828</v>
      </c>
      <c r="CV4" s="2">
        <v>254.12406115158299</v>
      </c>
      <c r="CW4" s="2">
        <v>243.134733444495</v>
      </c>
      <c r="CX4" s="2">
        <v>247.563459395942</v>
      </c>
      <c r="CY4" s="2">
        <v>269.26796545593299</v>
      </c>
      <c r="CZ4" s="1">
        <v>266.658345574088</v>
      </c>
    </row>
    <row r="5" spans="1:104" x14ac:dyDescent="0.2">
      <c r="A5">
        <v>7316</v>
      </c>
      <c r="B5" s="2">
        <v>141</v>
      </c>
      <c r="C5" s="2" t="s">
        <v>8</v>
      </c>
      <c r="D5" s="2" t="s">
        <v>295</v>
      </c>
      <c r="E5" s="2" t="s">
        <v>294</v>
      </c>
      <c r="F5" s="2" t="s">
        <v>293</v>
      </c>
      <c r="G5" s="2" t="s">
        <v>293</v>
      </c>
      <c r="H5" s="2">
        <v>2</v>
      </c>
      <c r="I5" s="2" t="s">
        <v>292</v>
      </c>
      <c r="J5" s="2">
        <v>777.55232000000001</v>
      </c>
      <c r="K5" s="2">
        <v>777.55229999999995</v>
      </c>
      <c r="L5" s="2">
        <v>776.54394660000003</v>
      </c>
      <c r="M5" s="2">
        <v>4.4279999999999999</v>
      </c>
      <c r="N5" s="2">
        <v>4.43</v>
      </c>
      <c r="O5" s="2">
        <v>0.92542302068101101</v>
      </c>
      <c r="P5" s="5" t="s">
        <v>157</v>
      </c>
      <c r="Q5" s="2">
        <v>4.7869999999999999</v>
      </c>
      <c r="R5" s="2">
        <v>1</v>
      </c>
      <c r="S5" s="2" t="s">
        <v>2</v>
      </c>
      <c r="T5" s="2" t="s">
        <v>1</v>
      </c>
      <c r="U5">
        <f t="shared" si="0"/>
        <v>1.4253594580025753E-2</v>
      </c>
      <c r="V5">
        <f t="shared" si="1"/>
        <v>-0.49938001865307979</v>
      </c>
      <c r="W5">
        <f t="shared" si="2"/>
        <v>-0.23113030248077043</v>
      </c>
      <c r="X5">
        <f t="shared" si="3"/>
        <v>-0.17082057110822918</v>
      </c>
      <c r="Y5">
        <f t="shared" si="4"/>
        <v>0.82928279290139051</v>
      </c>
      <c r="Z5">
        <f t="shared" si="5"/>
        <v>0.95474044856583229</v>
      </c>
      <c r="AA5">
        <f t="shared" si="6"/>
        <v>0.33448563945291232</v>
      </c>
      <c r="AB5">
        <f t="shared" si="7"/>
        <v>0.5971460803810027</v>
      </c>
      <c r="AC5" s="2">
        <v>182501.96018684501</v>
      </c>
      <c r="AD5" s="2">
        <v>267516.14359312801</v>
      </c>
      <c r="AE5" s="2">
        <v>219139.33276348101</v>
      </c>
      <c r="AF5" s="2">
        <v>237355.328314371</v>
      </c>
      <c r="AG5" s="2">
        <v>179068.74699087901</v>
      </c>
      <c r="AH5" s="2">
        <v>182647.000211812</v>
      </c>
      <c r="AI5" s="2">
        <v>221315.124604946</v>
      </c>
      <c r="AJ5" s="2">
        <v>197598.31654684499</v>
      </c>
      <c r="AK5" s="2">
        <v>236413.22716240701</v>
      </c>
      <c r="AL5" s="2">
        <v>273223.05840568198</v>
      </c>
      <c r="AM5" s="2">
        <v>462145.957874958</v>
      </c>
      <c r="AN5" s="2">
        <v>230281.43950688999</v>
      </c>
      <c r="AO5" s="2">
        <v>112133.15650462201</v>
      </c>
      <c r="AP5" s="2">
        <v>155021.51259429401</v>
      </c>
      <c r="AQ5" s="2">
        <v>145175.696205888</v>
      </c>
      <c r="AR5" s="2">
        <v>161143.91472893499</v>
      </c>
      <c r="AS5" s="2">
        <v>267434.594140439</v>
      </c>
      <c r="AT5" s="2">
        <v>91362.8739700937</v>
      </c>
      <c r="AU5" s="2">
        <v>186699.51124296099</v>
      </c>
      <c r="AV5" s="2">
        <v>207750.28507828299</v>
      </c>
      <c r="AW5" s="2">
        <v>278334.05622462602</v>
      </c>
      <c r="AX5" s="2">
        <v>206753.88608638299</v>
      </c>
      <c r="AY5" s="2">
        <v>194669.63706352099</v>
      </c>
      <c r="AZ5" s="2">
        <v>179941.31796253601</v>
      </c>
      <c r="BA5" s="2">
        <v>151765.69625003601</v>
      </c>
      <c r="BB5" s="2">
        <v>199386.96877718001</v>
      </c>
      <c r="BC5" s="2">
        <v>219322.98268043101</v>
      </c>
      <c r="BD5" s="2">
        <v>196265.07764143599</v>
      </c>
      <c r="BE5" s="2">
        <v>207393.218315137</v>
      </c>
      <c r="BF5" s="2">
        <v>176788.62483819699</v>
      </c>
      <c r="BG5" s="2">
        <v>150655.585588621</v>
      </c>
      <c r="BH5" s="2">
        <v>181787.190001665</v>
      </c>
      <c r="BI5" s="2">
        <v>184731.357667698</v>
      </c>
      <c r="BJ5" s="2">
        <v>184706.92849778401</v>
      </c>
      <c r="BK5" s="2">
        <v>201431.070790709</v>
      </c>
      <c r="BL5" s="2">
        <v>220598.47618946899</v>
      </c>
      <c r="BM5" s="2">
        <v>211432.65695135199</v>
      </c>
      <c r="BN5" s="2">
        <v>169560.47231307701</v>
      </c>
      <c r="BO5" s="2">
        <v>145067.69908555</v>
      </c>
      <c r="BP5" s="2">
        <v>196447.89788250899</v>
      </c>
      <c r="BQ5" s="2">
        <v>307738.11154161301</v>
      </c>
      <c r="BR5" s="2">
        <v>143454.60182193099</v>
      </c>
      <c r="BS5" s="2">
        <v>152987.646827441</v>
      </c>
      <c r="BT5" s="2">
        <v>220950.851030536</v>
      </c>
      <c r="BU5" s="2">
        <v>242225.05470172901</v>
      </c>
      <c r="BV5" s="2">
        <v>140976.60026433499</v>
      </c>
      <c r="BW5" s="2">
        <v>200028.89362160201</v>
      </c>
      <c r="BX5" s="2">
        <v>109744.310939599</v>
      </c>
      <c r="BY5" s="2">
        <v>119276.040580025</v>
      </c>
      <c r="BZ5" s="2">
        <v>140100.79202554899</v>
      </c>
      <c r="CA5">
        <f t="shared" si="8"/>
        <v>-0.11033313947587618</v>
      </c>
      <c r="CB5">
        <f t="shared" si="9"/>
        <v>-2.1424393278324079E-2</v>
      </c>
      <c r="CC5">
        <f t="shared" si="10"/>
        <v>0.14815436449315203</v>
      </c>
      <c r="CD5">
        <f t="shared" si="11"/>
        <v>-0.50910601168750258</v>
      </c>
      <c r="CE5" s="3">
        <f t="shared" si="12"/>
        <v>0.11476356031580991</v>
      </c>
      <c r="CF5" s="3">
        <f t="shared" si="13"/>
        <v>0.49190399802472118</v>
      </c>
      <c r="CG5" s="3">
        <f t="shared" si="14"/>
        <v>0.67230238138167686</v>
      </c>
      <c r="CH5" s="3">
        <f t="shared" si="15"/>
        <v>9.8905222168072446E-3</v>
      </c>
      <c r="CI5" s="2">
        <v>160176.01894642299</v>
      </c>
      <c r="CJ5" s="2">
        <v>69389.150888673597</v>
      </c>
      <c r="CK5" s="2">
        <v>249224.69683492099</v>
      </c>
      <c r="CL5" s="2">
        <v>159592.78107995799</v>
      </c>
      <c r="CM5" s="2">
        <v>173253.37238352199</v>
      </c>
      <c r="CN5" s="2">
        <v>189942.897738853</v>
      </c>
      <c r="CO5" s="2">
        <v>199445.92459825301</v>
      </c>
      <c r="CP5" s="2">
        <v>192939.32574840201</v>
      </c>
      <c r="CQ5" s="2">
        <v>219101.11271376899</v>
      </c>
      <c r="CR5" s="2">
        <v>173476.81640453299</v>
      </c>
      <c r="CS5" s="2">
        <v>156382.47652939899</v>
      </c>
      <c r="CT5" s="2">
        <v>208188.97432312401</v>
      </c>
      <c r="CU5" s="2">
        <v>294.723835860929</v>
      </c>
      <c r="CV5" s="2">
        <v>280.77940707866202</v>
      </c>
      <c r="CW5" s="2">
        <v>261.68977913907003</v>
      </c>
      <c r="CX5" s="2">
        <v>214.498219006537</v>
      </c>
      <c r="CY5" s="2">
        <v>203.87346659057499</v>
      </c>
      <c r="CZ5" s="1">
        <v>219.879241170098</v>
      </c>
    </row>
    <row r="6" spans="1:104" x14ac:dyDescent="0.2">
      <c r="A6">
        <v>7315</v>
      </c>
      <c r="B6" s="2">
        <v>140</v>
      </c>
      <c r="C6" s="2" t="s">
        <v>8</v>
      </c>
      <c r="D6" s="2" t="s">
        <v>291</v>
      </c>
      <c r="E6" s="2" t="s">
        <v>290</v>
      </c>
      <c r="F6" s="2" t="s">
        <v>289</v>
      </c>
      <c r="G6" s="2" t="s">
        <v>289</v>
      </c>
      <c r="H6" s="2">
        <v>2</v>
      </c>
      <c r="I6" s="2" t="s">
        <v>288</v>
      </c>
      <c r="J6" s="2">
        <v>807.59952999999996</v>
      </c>
      <c r="K6" s="2">
        <v>807.59950000000003</v>
      </c>
      <c r="L6" s="2">
        <v>806.59115659999998</v>
      </c>
      <c r="M6" s="2">
        <v>6.1239999999999997</v>
      </c>
      <c r="N6" s="2">
        <v>6.12</v>
      </c>
      <c r="O6" s="2">
        <v>1.2784625026112388</v>
      </c>
      <c r="P6" s="5" t="s">
        <v>157</v>
      </c>
      <c r="Q6" s="2">
        <v>4.7869999999999999</v>
      </c>
      <c r="R6" s="2">
        <v>1</v>
      </c>
      <c r="S6" s="2" t="s">
        <v>2</v>
      </c>
      <c r="T6" s="2" t="s">
        <v>1</v>
      </c>
      <c r="U6">
        <f t="shared" si="0"/>
        <v>0.16315343535175722</v>
      </c>
      <c r="V6">
        <f t="shared" si="1"/>
        <v>0.23423540947148824</v>
      </c>
      <c r="W6">
        <f t="shared" si="2"/>
        <v>0.32777671549439025</v>
      </c>
      <c r="X6">
        <f t="shared" si="3"/>
        <v>7.1705661345268054E-2</v>
      </c>
      <c r="Y6">
        <f t="shared" si="4"/>
        <v>6.4999371346590631E-2</v>
      </c>
      <c r="Z6">
        <f t="shared" si="5"/>
        <v>0.32411214970390823</v>
      </c>
      <c r="AA6">
        <f t="shared" si="6"/>
        <v>0.33040705342040355</v>
      </c>
      <c r="AB6">
        <f t="shared" si="7"/>
        <v>0.42001724228798598</v>
      </c>
      <c r="AC6" s="2">
        <v>157519.45364625499</v>
      </c>
      <c r="AD6" s="2">
        <v>138869.13642043699</v>
      </c>
      <c r="AE6" s="2">
        <v>139085.018594769</v>
      </c>
      <c r="AF6" s="2">
        <v>136540.17163551401</v>
      </c>
      <c r="AG6" s="2">
        <v>147630.978581009</v>
      </c>
      <c r="AH6" s="2">
        <v>149822.17924667499</v>
      </c>
      <c r="AI6" s="2">
        <v>152409.25834859101</v>
      </c>
      <c r="AJ6" s="2">
        <v>155737.94179783101</v>
      </c>
      <c r="AK6" s="2">
        <v>186207.48093867701</v>
      </c>
      <c r="AL6" s="2">
        <v>157384.231895643</v>
      </c>
      <c r="AM6" s="2">
        <v>210383.938296365</v>
      </c>
      <c r="AN6" s="2">
        <v>107691.601013413</v>
      </c>
      <c r="AO6" s="2">
        <v>154866.38039909399</v>
      </c>
      <c r="AP6" s="2">
        <v>163603.36695747601</v>
      </c>
      <c r="AQ6" s="2">
        <v>172165.679153153</v>
      </c>
      <c r="AR6" s="2">
        <v>183640.86289542899</v>
      </c>
      <c r="AS6" s="2">
        <v>215862.09477796999</v>
      </c>
      <c r="AT6" s="2">
        <v>103620.02475807699</v>
      </c>
      <c r="AU6" s="2">
        <v>174562.50928878799</v>
      </c>
      <c r="AV6" s="2">
        <v>142840.282647385</v>
      </c>
      <c r="AW6" s="2">
        <v>153576.85315072301</v>
      </c>
      <c r="AX6" s="2">
        <v>169343.46876167299</v>
      </c>
      <c r="AY6" s="2">
        <v>134737.21622309601</v>
      </c>
      <c r="AZ6" s="2">
        <v>145246.21669558701</v>
      </c>
      <c r="BA6" s="2">
        <v>146172.57843370101</v>
      </c>
      <c r="BB6" s="2">
        <v>201516.174673734</v>
      </c>
      <c r="BC6" s="2">
        <v>182949.49391470599</v>
      </c>
      <c r="BD6" s="2">
        <v>233025.71107195999</v>
      </c>
      <c r="BE6" s="2">
        <v>214690.78899670701</v>
      </c>
      <c r="BF6" s="2">
        <v>156217.61958168101</v>
      </c>
      <c r="BG6" s="2">
        <v>152521.20431852699</v>
      </c>
      <c r="BH6" s="2">
        <v>184905.07752869499</v>
      </c>
      <c r="BI6" s="2">
        <v>150945.13489843599</v>
      </c>
      <c r="BJ6" s="2">
        <v>161464.61417317801</v>
      </c>
      <c r="BK6" s="2">
        <v>140728.363360966</v>
      </c>
      <c r="BL6" s="2">
        <v>161294.31314434099</v>
      </c>
      <c r="BM6" s="2">
        <v>181401.387398447</v>
      </c>
      <c r="BN6" s="2">
        <v>150786.28086692301</v>
      </c>
      <c r="BO6" s="2">
        <v>137434.59078507099</v>
      </c>
      <c r="BP6" s="2">
        <v>202163.03508513299</v>
      </c>
      <c r="BQ6" s="2">
        <v>188083.29405228401</v>
      </c>
      <c r="BR6" s="2">
        <v>182537.66177521599</v>
      </c>
      <c r="BS6" s="2">
        <v>163445.889897869</v>
      </c>
      <c r="BT6" s="2">
        <v>149080.858444185</v>
      </c>
      <c r="BU6" s="2">
        <v>222262.85982150401</v>
      </c>
      <c r="BV6" s="2">
        <v>181303.43770619101</v>
      </c>
      <c r="BW6" s="2">
        <v>181790.36995908601</v>
      </c>
      <c r="BX6" s="2">
        <v>157852.46496201999</v>
      </c>
      <c r="BY6" s="2">
        <v>143242.78571731501</v>
      </c>
      <c r="BZ6" s="2">
        <v>198879.73295023601</v>
      </c>
      <c r="CA6">
        <f t="shared" si="8"/>
        <v>-0.40188581331384965</v>
      </c>
      <c r="CB6">
        <f t="shared" si="9"/>
        <v>-0.32120006778219873</v>
      </c>
      <c r="CC6">
        <f t="shared" si="10"/>
        <v>-0.14270148483515427</v>
      </c>
      <c r="CD6">
        <f t="shared" si="11"/>
        <v>-0.15248936078525102</v>
      </c>
      <c r="CE6" s="3">
        <f t="shared" si="12"/>
        <v>3.1227144108266387E-2</v>
      </c>
      <c r="CF6" s="3">
        <f t="shared" si="13"/>
        <v>0.11322568980678224</v>
      </c>
      <c r="CG6" s="3">
        <f t="shared" si="14"/>
        <v>0.38661769923455669</v>
      </c>
      <c r="CH6" s="3">
        <f t="shared" si="15"/>
        <v>0.16633169011223331</v>
      </c>
      <c r="CI6" s="2">
        <v>118791.669463692</v>
      </c>
      <c r="CJ6" s="2">
        <v>117226.073677348</v>
      </c>
      <c r="CK6" s="2">
        <v>119241.296964778</v>
      </c>
      <c r="CL6" s="2">
        <v>113620.29292649</v>
      </c>
      <c r="CM6" s="2">
        <v>170875.82767894899</v>
      </c>
      <c r="CN6" s="2">
        <v>172829.12299738801</v>
      </c>
      <c r="CO6" s="2">
        <v>164328.23241751999</v>
      </c>
      <c r="CP6" s="2">
        <v>167661.66950918001</v>
      </c>
      <c r="CQ6" s="2">
        <v>167408.89634669901</v>
      </c>
      <c r="CR6" s="2">
        <v>168532.32625822799</v>
      </c>
      <c r="CS6" s="2">
        <v>173696.430866482</v>
      </c>
      <c r="CT6" s="2">
        <v>168368.48609155099</v>
      </c>
      <c r="CU6" s="2">
        <v>232.16366389377001</v>
      </c>
      <c r="CV6" s="2">
        <v>248.00936815354299</v>
      </c>
      <c r="CW6" s="2">
        <v>237.929091848263</v>
      </c>
      <c r="CX6" s="2">
        <v>257.57228018275799</v>
      </c>
      <c r="CY6" s="2">
        <v>266.160000322408</v>
      </c>
      <c r="CZ6" s="1">
        <v>260.54856239843002</v>
      </c>
    </row>
    <row r="7" spans="1:104" x14ac:dyDescent="0.2">
      <c r="A7">
        <v>7314</v>
      </c>
      <c r="B7" s="2">
        <v>138</v>
      </c>
      <c r="C7" s="2" t="s">
        <v>8</v>
      </c>
      <c r="D7" s="2" t="s">
        <v>287</v>
      </c>
      <c r="E7" s="2" t="s">
        <v>286</v>
      </c>
      <c r="F7" s="2" t="s">
        <v>285</v>
      </c>
      <c r="G7" s="2" t="s">
        <v>284</v>
      </c>
      <c r="H7" s="2">
        <v>2</v>
      </c>
      <c r="I7" s="2" t="s">
        <v>283</v>
      </c>
      <c r="J7" s="2">
        <v>805.58484999999996</v>
      </c>
      <c r="K7" s="2">
        <v>805.58489999999995</v>
      </c>
      <c r="L7" s="2">
        <v>804.57647659999998</v>
      </c>
      <c r="M7" s="2">
        <v>5.2279999999999998</v>
      </c>
      <c r="N7" s="2">
        <v>5.23</v>
      </c>
      <c r="O7" s="2">
        <v>1.0925423020681013</v>
      </c>
      <c r="P7" s="5" t="s">
        <v>157</v>
      </c>
      <c r="Q7" s="2">
        <v>4.7869999999999999</v>
      </c>
      <c r="R7" s="2">
        <v>1</v>
      </c>
      <c r="S7" s="2" t="s">
        <v>2</v>
      </c>
      <c r="T7" s="2" t="s">
        <v>1</v>
      </c>
      <c r="U7">
        <f t="shared" si="0"/>
        <v>0.16219619810776895</v>
      </c>
      <c r="V7">
        <f t="shared" si="1"/>
        <v>0.16178044356024779</v>
      </c>
      <c r="W7">
        <f t="shared" si="2"/>
        <v>0.24456621428664532</v>
      </c>
      <c r="X7">
        <f t="shared" si="3"/>
        <v>0.16270129054248844</v>
      </c>
      <c r="Y7">
        <f t="shared" si="4"/>
        <v>5.7388987811528736E-4</v>
      </c>
      <c r="Z7">
        <f t="shared" si="5"/>
        <v>0.26717601351413978</v>
      </c>
      <c r="AA7">
        <f t="shared" si="6"/>
        <v>0.52594899227376679</v>
      </c>
      <c r="AB7">
        <f t="shared" si="7"/>
        <v>1.1729490536584888E-3</v>
      </c>
      <c r="AC7" s="2">
        <v>3470368.50257023</v>
      </c>
      <c r="AD7" s="2">
        <v>3898218.3459690702</v>
      </c>
      <c r="AE7" s="2">
        <v>3781219.2531408099</v>
      </c>
      <c r="AF7" s="2">
        <v>3699830.8828603998</v>
      </c>
      <c r="AG7" s="2">
        <v>3597001.2340487898</v>
      </c>
      <c r="AH7" s="2">
        <v>4110301.8375377101</v>
      </c>
      <c r="AI7" s="2">
        <v>4140071.0465255398</v>
      </c>
      <c r="AJ7" s="2">
        <v>4026047.0562382801</v>
      </c>
      <c r="AK7" s="2">
        <v>4242552.8210482998</v>
      </c>
      <c r="AL7" s="2">
        <v>4209642.1741612302</v>
      </c>
      <c r="AM7" s="2">
        <v>5837300.5850296998</v>
      </c>
      <c r="AN7" s="2">
        <v>3271646.3705226001</v>
      </c>
      <c r="AO7" s="2">
        <v>3553419.2886653901</v>
      </c>
      <c r="AP7" s="2">
        <v>4138878.1365029202</v>
      </c>
      <c r="AQ7" s="2">
        <v>4341775.9897308201</v>
      </c>
      <c r="AR7" s="2">
        <v>4409420.8380250204</v>
      </c>
      <c r="AS7" s="2">
        <v>5197027.4184486</v>
      </c>
      <c r="AT7" s="2">
        <v>2549399.77172173</v>
      </c>
      <c r="AU7" s="2">
        <v>4383324.6684031198</v>
      </c>
      <c r="AV7" s="2">
        <v>3439967.9157693801</v>
      </c>
      <c r="AW7" s="2">
        <v>4193796.53247659</v>
      </c>
      <c r="AX7" s="2">
        <v>4141520.75322176</v>
      </c>
      <c r="AY7" s="2">
        <v>3992642.3709727302</v>
      </c>
      <c r="AZ7" s="2">
        <v>4231980.5501218298</v>
      </c>
      <c r="BA7" s="2">
        <v>4027534.6271409299</v>
      </c>
      <c r="BB7" s="2">
        <v>4323035.0332774697</v>
      </c>
      <c r="BC7" s="2">
        <v>4447741.5185782202</v>
      </c>
      <c r="BD7" s="2">
        <v>4522228.6262123603</v>
      </c>
      <c r="BE7" s="2">
        <v>4537110.1188217504</v>
      </c>
      <c r="BF7" s="2">
        <v>3531610.5494242501</v>
      </c>
      <c r="BG7" s="2">
        <v>3529979.3391034901</v>
      </c>
      <c r="BH7" s="2">
        <v>4253221.2895179</v>
      </c>
      <c r="BI7" s="2">
        <v>3684929.5018663402</v>
      </c>
      <c r="BJ7" s="2">
        <v>3798022.8687025202</v>
      </c>
      <c r="BK7" s="2">
        <v>3583373.4313208698</v>
      </c>
      <c r="BL7" s="2">
        <v>4258112.5406814096</v>
      </c>
      <c r="BM7" s="2">
        <v>3756874.9850709001</v>
      </c>
      <c r="BN7" s="2">
        <v>3675980.5369684901</v>
      </c>
      <c r="BO7" s="2">
        <v>3655311.8537736102</v>
      </c>
      <c r="BP7" s="2">
        <v>4835616.5228701802</v>
      </c>
      <c r="BQ7" s="2">
        <v>4994359.8098497503</v>
      </c>
      <c r="BR7" s="2">
        <v>3900669.9142684299</v>
      </c>
      <c r="BS7" s="2">
        <v>4026671.7516170102</v>
      </c>
      <c r="BT7" s="2">
        <v>4180836.5735572898</v>
      </c>
      <c r="BU7" s="2">
        <v>4836805.3089195099</v>
      </c>
      <c r="BV7" s="2">
        <v>3924494.5460567502</v>
      </c>
      <c r="BW7" s="2">
        <v>4064202.6508389502</v>
      </c>
      <c r="BX7" s="2">
        <v>3749099.45893298</v>
      </c>
      <c r="BY7" s="2">
        <v>3768983.8053693301</v>
      </c>
      <c r="BZ7" s="2">
        <v>4786346.4900030298</v>
      </c>
      <c r="CA7">
        <f t="shared" si="8"/>
        <v>-0.27143592927433474</v>
      </c>
      <c r="CB7">
        <f t="shared" si="9"/>
        <v>-0.24353983876185842</v>
      </c>
      <c r="CC7">
        <f t="shared" si="10"/>
        <v>-8.9281297592161635E-2</v>
      </c>
      <c r="CD7">
        <f t="shared" si="11"/>
        <v>-0.18056609342496346</v>
      </c>
      <c r="CE7" s="3">
        <f t="shared" si="12"/>
        <v>5.9514434410262045E-2</v>
      </c>
      <c r="CF7" s="3">
        <f t="shared" si="13"/>
        <v>0.44878158720478134</v>
      </c>
      <c r="CG7" s="3">
        <f t="shared" si="14"/>
        <v>0.70184038045297825</v>
      </c>
      <c r="CH7" s="3">
        <f t="shared" si="15"/>
        <v>0.44902032765047595</v>
      </c>
      <c r="CI7" s="2">
        <v>2377025.7563054198</v>
      </c>
      <c r="CJ7" s="2">
        <v>2237185.3641815698</v>
      </c>
      <c r="CK7" s="2">
        <v>2900931.9169713799</v>
      </c>
      <c r="CL7" s="2">
        <v>2713398.71171065</v>
      </c>
      <c r="CM7" s="2">
        <v>4120412.6341544101</v>
      </c>
      <c r="CN7" s="2">
        <v>4090705.24891093</v>
      </c>
      <c r="CO7" s="2">
        <v>4053168.6120839799</v>
      </c>
      <c r="CP7" s="2">
        <v>4126737.5949996798</v>
      </c>
      <c r="CQ7" s="2">
        <v>4181682.79304086</v>
      </c>
      <c r="CR7" s="2">
        <v>4168787.1332357801</v>
      </c>
      <c r="CS7" s="2">
        <v>4196690.6925204201</v>
      </c>
      <c r="CT7" s="2">
        <v>3986511.6736542801</v>
      </c>
      <c r="CU7" s="2">
        <v>295.805734965331</v>
      </c>
      <c r="CV7" s="2">
        <v>421.99363178265799</v>
      </c>
      <c r="CW7" s="2">
        <v>337.892063591463</v>
      </c>
      <c r="CX7" s="2">
        <v>330.644828623487</v>
      </c>
      <c r="CY7" s="2">
        <v>333.52079298100398</v>
      </c>
      <c r="CZ7" s="1">
        <v>932.67435774273099</v>
      </c>
    </row>
    <row r="8" spans="1:104" x14ac:dyDescent="0.2">
      <c r="A8">
        <v>7313</v>
      </c>
      <c r="B8" s="2">
        <v>137</v>
      </c>
      <c r="C8" s="2" t="s">
        <v>8</v>
      </c>
      <c r="D8" s="2" t="s">
        <v>282</v>
      </c>
      <c r="E8" s="2" t="s">
        <v>281</v>
      </c>
      <c r="F8" s="2" t="s">
        <v>280</v>
      </c>
      <c r="G8" s="2" t="s">
        <v>279</v>
      </c>
      <c r="H8" s="2">
        <v>2</v>
      </c>
      <c r="I8" s="2" t="s">
        <v>278</v>
      </c>
      <c r="J8" s="2">
        <v>803.56925999999999</v>
      </c>
      <c r="K8" s="2">
        <v>803.5693</v>
      </c>
      <c r="L8" s="2">
        <v>802.5608866</v>
      </c>
      <c r="M8" s="2">
        <v>4.5970000000000004</v>
      </c>
      <c r="N8" s="2">
        <v>4.5999999999999996</v>
      </c>
      <c r="O8" s="2">
        <v>0.96093586797576769</v>
      </c>
      <c r="P8" s="5" t="s">
        <v>157</v>
      </c>
      <c r="Q8" s="2">
        <v>4.7869999999999999</v>
      </c>
      <c r="R8" s="2">
        <v>1</v>
      </c>
      <c r="S8" s="2" t="s">
        <v>2</v>
      </c>
      <c r="T8" s="2" t="s">
        <v>1</v>
      </c>
      <c r="U8">
        <f t="shared" si="0"/>
        <v>6.0426146242213111E-2</v>
      </c>
      <c r="V8">
        <f t="shared" si="1"/>
        <v>-0.14332322605333286</v>
      </c>
      <c r="W8">
        <f t="shared" si="2"/>
        <v>5.2970690004602736E-2</v>
      </c>
      <c r="X8">
        <f t="shared" si="3"/>
        <v>0.165807302369923</v>
      </c>
      <c r="Y8">
        <f t="shared" si="4"/>
        <v>0.80809287390054574</v>
      </c>
      <c r="Z8">
        <f t="shared" si="5"/>
        <v>0.13497534353373111</v>
      </c>
      <c r="AA8">
        <f t="shared" si="6"/>
        <v>0.89988759929833251</v>
      </c>
      <c r="AB8">
        <f t="shared" si="7"/>
        <v>0.16757103829331074</v>
      </c>
      <c r="AC8" s="2">
        <v>6514792.0909800902</v>
      </c>
      <c r="AD8" s="2">
        <v>8108977.7335973997</v>
      </c>
      <c r="AE8" s="2">
        <v>7012349.6974818101</v>
      </c>
      <c r="AF8" s="2">
        <v>6396623.7816222599</v>
      </c>
      <c r="AG8" s="2">
        <v>6126143.4489207799</v>
      </c>
      <c r="AH8" s="2">
        <v>7336232.6017302303</v>
      </c>
      <c r="AI8" s="2">
        <v>6793454.0620062295</v>
      </c>
      <c r="AJ8" s="2">
        <v>7082226.8154824404</v>
      </c>
      <c r="AK8" s="2">
        <v>6386737.6434881901</v>
      </c>
      <c r="AL8" s="2">
        <v>6031105.3804478804</v>
      </c>
      <c r="AM8" s="2">
        <v>6957539.7571061598</v>
      </c>
      <c r="AN8" s="2">
        <v>4989910.23226602</v>
      </c>
      <c r="AO8" s="2">
        <v>5718211.8828333402</v>
      </c>
      <c r="AP8" s="2">
        <v>5898695.39907711</v>
      </c>
      <c r="AQ8" s="2">
        <v>6537074.2919280296</v>
      </c>
      <c r="AR8" s="2">
        <v>6758437.8909930298</v>
      </c>
      <c r="AS8" s="2">
        <v>7653520.9945500996</v>
      </c>
      <c r="AT8" s="2">
        <v>4723309.3409574302</v>
      </c>
      <c r="AU8" s="2">
        <v>8291646.6828376502</v>
      </c>
      <c r="AV8" s="2">
        <v>6273353.9118652605</v>
      </c>
      <c r="AW8" s="2">
        <v>9054767.2049328294</v>
      </c>
      <c r="AX8" s="2">
        <v>6922826.9389343597</v>
      </c>
      <c r="AY8" s="2">
        <v>8448077.9832887091</v>
      </c>
      <c r="AZ8" s="2">
        <v>7308252.3009723797</v>
      </c>
      <c r="BA8" s="2">
        <v>6751968.0022687903</v>
      </c>
      <c r="BB8" s="2">
        <v>7106576.0922894599</v>
      </c>
      <c r="BC8" s="2">
        <v>6921475.6246476797</v>
      </c>
      <c r="BD8" s="2">
        <v>7356604.3905589897</v>
      </c>
      <c r="BE8" s="2">
        <v>7283189.3785961401</v>
      </c>
      <c r="BF8" s="2">
        <v>5298152.6426441101</v>
      </c>
      <c r="BG8" s="2">
        <v>5272701.6397234304</v>
      </c>
      <c r="BH8" s="2">
        <v>6097751.0115159201</v>
      </c>
      <c r="BI8" s="2">
        <v>4924172.0141708897</v>
      </c>
      <c r="BJ8" s="2">
        <v>5203900.5102404999</v>
      </c>
      <c r="BK8" s="2">
        <v>4713913.6868237704</v>
      </c>
      <c r="BL8" s="2">
        <v>5732795.4663590603</v>
      </c>
      <c r="BM8" s="2">
        <v>5583086.0565914903</v>
      </c>
      <c r="BN8" s="2">
        <v>4449643.9725759802</v>
      </c>
      <c r="BO8" s="2">
        <v>5301656.2074849</v>
      </c>
      <c r="BP8" s="2">
        <v>5918640.0057313796</v>
      </c>
      <c r="BQ8" s="2">
        <v>7970940.1030065697</v>
      </c>
      <c r="BR8" s="2">
        <v>6544743.4507030603</v>
      </c>
      <c r="BS8" s="2">
        <v>6567590.2413626099</v>
      </c>
      <c r="BT8" s="2">
        <v>6243705.7734542601</v>
      </c>
      <c r="BU8" s="2">
        <v>8044202.4311712002</v>
      </c>
      <c r="BV8" s="2">
        <v>6621729.9169383598</v>
      </c>
      <c r="BW8" s="2">
        <v>6695651.4586788202</v>
      </c>
      <c r="BX8" s="2">
        <v>6350405.7127569299</v>
      </c>
      <c r="BY8" s="2">
        <v>5850592.0449863896</v>
      </c>
      <c r="BZ8" s="2">
        <v>7446242.6322243502</v>
      </c>
      <c r="CA8">
        <f t="shared" si="8"/>
        <v>-0.44956126458108925</v>
      </c>
      <c r="CB8">
        <f t="shared" si="9"/>
        <v>-0.34809185130848896</v>
      </c>
      <c r="CC8">
        <f t="shared" si="10"/>
        <v>-0.11379052630391964</v>
      </c>
      <c r="CD8">
        <f t="shared" si="11"/>
        <v>-0.10194647684221927</v>
      </c>
      <c r="CE8" s="3">
        <f t="shared" si="12"/>
        <v>8.5926569037882792E-3</v>
      </c>
      <c r="CF8" s="3">
        <f t="shared" si="13"/>
        <v>1.6201762981548264E-2</v>
      </c>
      <c r="CG8" s="3">
        <f t="shared" si="14"/>
        <v>0.61824162917777792</v>
      </c>
      <c r="CH8" s="3">
        <f t="shared" si="15"/>
        <v>0.67567606115230094</v>
      </c>
      <c r="CI8" s="2">
        <v>5065031.1464963704</v>
      </c>
      <c r="CJ8" s="2">
        <v>5487339.1175311804</v>
      </c>
      <c r="CK8" s="2">
        <v>5855451.2604371402</v>
      </c>
      <c r="CL8" s="2">
        <v>6163365.3585789902</v>
      </c>
      <c r="CM8" s="2">
        <v>6814568.2876959397</v>
      </c>
      <c r="CN8" s="2">
        <v>6449033.2909367699</v>
      </c>
      <c r="CO8" s="2">
        <v>6428110.7175343502</v>
      </c>
      <c r="CP8" s="2">
        <v>6844620.5929335104</v>
      </c>
      <c r="CQ8" s="2">
        <v>6332022.2515432499</v>
      </c>
      <c r="CR8" s="2">
        <v>6384080.2965341201</v>
      </c>
      <c r="CS8" s="2">
        <v>6542534.9496615697</v>
      </c>
      <c r="CT8" s="2">
        <v>6821043.9729175502</v>
      </c>
      <c r="CU8" s="2">
        <v>229.18302110491999</v>
      </c>
      <c r="CV8" s="2">
        <v>298.68570218731401</v>
      </c>
      <c r="CW8" s="2">
        <v>789.43899603434204</v>
      </c>
      <c r="CX8" s="2">
        <v>234.828521192637</v>
      </c>
      <c r="CY8" s="2">
        <v>862.67218958608601</v>
      </c>
      <c r="CZ8" s="1">
        <v>2016.03321766306</v>
      </c>
    </row>
    <row r="9" spans="1:104" x14ac:dyDescent="0.2">
      <c r="A9">
        <v>7312</v>
      </c>
      <c r="B9" s="2">
        <v>134</v>
      </c>
      <c r="C9" s="2" t="s">
        <v>8</v>
      </c>
      <c r="D9" s="2" t="s">
        <v>277</v>
      </c>
      <c r="E9" s="2" t="s">
        <v>276</v>
      </c>
      <c r="F9" s="2" t="s">
        <v>275</v>
      </c>
      <c r="G9" s="2" t="s">
        <v>274</v>
      </c>
      <c r="H9" s="2">
        <v>2</v>
      </c>
      <c r="I9" s="2" t="s">
        <v>269</v>
      </c>
      <c r="J9" s="2">
        <v>801.55254000000002</v>
      </c>
      <c r="K9" s="2">
        <v>801.55250000000001</v>
      </c>
      <c r="L9" s="2">
        <v>800.54416660000004</v>
      </c>
      <c r="M9" s="2">
        <v>4.2140000000000004</v>
      </c>
      <c r="N9" s="2">
        <v>4.21</v>
      </c>
      <c r="O9" s="2">
        <v>0.87946521829956137</v>
      </c>
      <c r="P9" s="5" t="s">
        <v>157</v>
      </c>
      <c r="Q9" s="2">
        <v>4.7869999999999999</v>
      </c>
      <c r="R9" s="2">
        <v>1</v>
      </c>
      <c r="S9" s="2" t="s">
        <v>2</v>
      </c>
      <c r="T9" s="2" t="s">
        <v>1</v>
      </c>
      <c r="U9">
        <f t="shared" si="0"/>
        <v>0.13184435950605722</v>
      </c>
      <c r="V9">
        <f t="shared" si="1"/>
        <v>-8.3829219297099439E-2</v>
      </c>
      <c r="W9">
        <f t="shared" si="2"/>
        <v>0.23453508509047821</v>
      </c>
      <c r="X9">
        <f t="shared" si="3"/>
        <v>0.49301227594857849</v>
      </c>
      <c r="Y9">
        <f t="shared" si="4"/>
        <v>0.27521277842601916</v>
      </c>
      <c r="Z9">
        <f t="shared" si="5"/>
        <v>0.84483277259117673</v>
      </c>
      <c r="AA9">
        <f t="shared" si="6"/>
        <v>0.30779646036987718</v>
      </c>
      <c r="AB9">
        <f t="shared" si="7"/>
        <v>8.3183819159380293E-2</v>
      </c>
      <c r="AC9" s="2">
        <v>54331.744956140901</v>
      </c>
      <c r="AD9" s="2">
        <v>69055.539728551099</v>
      </c>
      <c r="AE9" s="2">
        <v>47919.793704580203</v>
      </c>
      <c r="AF9" s="2">
        <v>33761.380885389299</v>
      </c>
      <c r="AG9" s="2">
        <v>39106.538332129297</v>
      </c>
      <c r="AH9" s="2">
        <v>69070.421278523005</v>
      </c>
      <c r="AI9" s="2">
        <v>46897.312710228602</v>
      </c>
      <c r="AJ9" s="2">
        <v>71157.352739106893</v>
      </c>
      <c r="AK9" s="2">
        <v>52505.4091052269</v>
      </c>
      <c r="AL9" s="2">
        <v>51017.827441937101</v>
      </c>
      <c r="AM9" s="2">
        <v>55086.857487430199</v>
      </c>
      <c r="AN9" s="2">
        <v>33353.176165179299</v>
      </c>
      <c r="AO9" s="2">
        <v>43014.156046360702</v>
      </c>
      <c r="AP9" s="2">
        <v>45214.7183839934</v>
      </c>
      <c r="AQ9" s="2">
        <v>59697.928002517903</v>
      </c>
      <c r="AR9" s="2">
        <v>56378.956759125802</v>
      </c>
      <c r="AS9" s="2">
        <v>74091.344668146907</v>
      </c>
      <c r="AT9" s="2">
        <v>34171.3536390144</v>
      </c>
      <c r="AU9" s="2">
        <v>82203.639635698695</v>
      </c>
      <c r="AV9" s="2">
        <v>54041.558921347802</v>
      </c>
      <c r="AW9" s="2">
        <v>111359.459676036</v>
      </c>
      <c r="AX9" s="2">
        <v>41753.995462945401</v>
      </c>
      <c r="AY9" s="2">
        <v>98461.351511715999</v>
      </c>
      <c r="AZ9" s="2">
        <v>67441.376070810802</v>
      </c>
      <c r="BA9" s="2">
        <v>63598.038532822902</v>
      </c>
      <c r="BB9" s="2">
        <v>32211.684045844599</v>
      </c>
      <c r="BC9" s="2">
        <v>29621.3221463755</v>
      </c>
      <c r="BD9" s="2">
        <v>39447.470902968598</v>
      </c>
      <c r="BE9" s="2">
        <v>35594.824619996201</v>
      </c>
      <c r="BF9" s="2">
        <v>26165.454708254601</v>
      </c>
      <c r="BG9" s="2">
        <v>24472.471421512699</v>
      </c>
      <c r="BH9" s="2">
        <v>24026.870812722002</v>
      </c>
      <c r="BI9" s="2">
        <v>16059.133162385</v>
      </c>
      <c r="BJ9" s="2">
        <v>25150.9418552241</v>
      </c>
      <c r="BK9" s="2">
        <v>23460.791624702</v>
      </c>
      <c r="BL9" s="2">
        <v>23667.828163523602</v>
      </c>
      <c r="BM9" s="2">
        <v>23639.898441731701</v>
      </c>
      <c r="BN9" s="2">
        <v>19607.3601398631</v>
      </c>
      <c r="BO9" s="2">
        <v>23995.781252467299</v>
      </c>
      <c r="BP9" s="2">
        <v>26879.131804715402</v>
      </c>
      <c r="BQ9" s="2">
        <v>39996.479036934499</v>
      </c>
      <c r="BR9" s="2">
        <v>34759.540395000797</v>
      </c>
      <c r="BS9" s="2">
        <v>30540.521638690301</v>
      </c>
      <c r="BT9" s="2">
        <v>30497.3608151402</v>
      </c>
      <c r="BU9" s="2">
        <v>41802.678385059</v>
      </c>
      <c r="BV9" s="2">
        <v>36393.383460597302</v>
      </c>
      <c r="BW9" s="2">
        <v>26745.171983802102</v>
      </c>
      <c r="BX9" s="2">
        <v>31767.536518053501</v>
      </c>
      <c r="BY9" s="2">
        <v>30004.924352391699</v>
      </c>
      <c r="BZ9" s="2">
        <v>43693.750783396499</v>
      </c>
      <c r="CA9">
        <f t="shared" si="8"/>
        <v>-0.42293531919454247</v>
      </c>
      <c r="CB9">
        <f t="shared" si="9"/>
        <v>-0.44465676185798952</v>
      </c>
      <c r="CC9">
        <f t="shared" si="10"/>
        <v>0.10982491872849065</v>
      </c>
      <c r="CD9">
        <f t="shared" si="11"/>
        <v>-2.0030870141173565E-2</v>
      </c>
      <c r="CE9" s="3">
        <f t="shared" si="12"/>
        <v>8.00647924101071E-3</v>
      </c>
      <c r="CF9" s="3">
        <f t="shared" si="13"/>
        <v>7.9876294373321458E-3</v>
      </c>
      <c r="CG9" s="3">
        <f t="shared" si="14"/>
        <v>0.40195645106490807</v>
      </c>
      <c r="CH9" s="3">
        <f t="shared" si="15"/>
        <v>0.77340493730008064</v>
      </c>
      <c r="CI9" s="2">
        <v>19720.690506065901</v>
      </c>
      <c r="CJ9" s="2">
        <v>23741.7773522102</v>
      </c>
      <c r="CK9" s="2">
        <v>25370.584497562901</v>
      </c>
      <c r="CL9" s="2">
        <v>28738.805990615499</v>
      </c>
      <c r="CM9" s="2">
        <v>43765.288048181901</v>
      </c>
      <c r="CN9" s="2">
        <v>42923.340784643697</v>
      </c>
      <c r="CO9" s="2">
        <v>35013.443725146499</v>
      </c>
      <c r="CP9" s="2">
        <v>33149.872693531201</v>
      </c>
      <c r="CQ9" s="2">
        <v>32797.736016463801</v>
      </c>
      <c r="CR9" s="2">
        <v>34323.384262884101</v>
      </c>
      <c r="CS9" s="2">
        <v>34508.110058048398</v>
      </c>
      <c r="CT9" s="2">
        <v>51041.689992301697</v>
      </c>
      <c r="CU9" s="2">
        <v>171.21968836094601</v>
      </c>
      <c r="CV9" s="2">
        <v>172.598978468187</v>
      </c>
      <c r="CW9" s="2">
        <v>170.78634997073999</v>
      </c>
      <c r="CX9" s="2">
        <v>218.84165276924</v>
      </c>
      <c r="CY9" s="2">
        <v>228.00050063475101</v>
      </c>
      <c r="CZ9" s="1">
        <v>221.592607694088</v>
      </c>
    </row>
    <row r="10" spans="1:104" x14ac:dyDescent="0.2">
      <c r="A10">
        <v>7311</v>
      </c>
      <c r="B10" s="2">
        <v>133</v>
      </c>
      <c r="C10" s="2" t="s">
        <v>8</v>
      </c>
      <c r="D10" s="2" t="s">
        <v>273</v>
      </c>
      <c r="E10" s="2" t="s">
        <v>272</v>
      </c>
      <c r="F10" s="2" t="s">
        <v>271</v>
      </c>
      <c r="G10" s="2" t="s">
        <v>270</v>
      </c>
      <c r="H10" s="2">
        <v>2</v>
      </c>
      <c r="I10" s="2" t="s">
        <v>269</v>
      </c>
      <c r="J10" s="2">
        <v>801.55253000000005</v>
      </c>
      <c r="K10" s="2">
        <v>801.55250000000001</v>
      </c>
      <c r="L10" s="2">
        <v>800.54415660000006</v>
      </c>
      <c r="M10" s="2">
        <v>3.9529999999999998</v>
      </c>
      <c r="N10" s="2">
        <v>3.95</v>
      </c>
      <c r="O10" s="2">
        <v>0.82515145184875716</v>
      </c>
      <c r="P10" s="5" t="s">
        <v>157</v>
      </c>
      <c r="Q10" s="2">
        <v>4.7869999999999999</v>
      </c>
      <c r="R10" s="2">
        <v>1</v>
      </c>
      <c r="S10" s="2" t="s">
        <v>2</v>
      </c>
      <c r="T10" s="2" t="s">
        <v>1</v>
      </c>
      <c r="U10">
        <f t="shared" si="0"/>
        <v>-0.20753847869769476</v>
      </c>
      <c r="V10">
        <f t="shared" si="1"/>
        <v>-0.23956518477514813</v>
      </c>
      <c r="W10">
        <f t="shared" si="2"/>
        <v>4.8524521060113908E-2</v>
      </c>
      <c r="X10">
        <f t="shared" si="3"/>
        <v>0.21156497364637328</v>
      </c>
      <c r="Y10">
        <f t="shared" si="4"/>
        <v>0.39614278431336758</v>
      </c>
      <c r="Z10">
        <f t="shared" si="5"/>
        <v>0.5770233517710841</v>
      </c>
      <c r="AA10">
        <f t="shared" si="6"/>
        <v>0.8847811861431456</v>
      </c>
      <c r="AB10">
        <f t="shared" si="7"/>
        <v>0.55155592598482095</v>
      </c>
      <c r="AC10" s="2">
        <v>36845.113775513302</v>
      </c>
      <c r="AD10" s="2">
        <v>78614.506022202899</v>
      </c>
      <c r="AE10" s="2">
        <v>86356.820165560901</v>
      </c>
      <c r="AF10" s="2">
        <v>59888.731225054398</v>
      </c>
      <c r="AG10" s="2">
        <v>45950.4477800081</v>
      </c>
      <c r="AH10" s="2">
        <v>45122.315341371599</v>
      </c>
      <c r="AI10" s="2">
        <v>52683.838955124898</v>
      </c>
      <c r="AJ10" s="2">
        <v>67709.112511395899</v>
      </c>
      <c r="AK10" s="2">
        <v>44135.051967735999</v>
      </c>
      <c r="AL10" s="2">
        <v>51864.453382746899</v>
      </c>
      <c r="AM10" s="2">
        <v>82271.916047664898</v>
      </c>
      <c r="AN10" s="2">
        <v>41129.206499211497</v>
      </c>
      <c r="AO10" s="2">
        <v>56298.652297080203</v>
      </c>
      <c r="AP10" s="2">
        <v>42363.1406323423</v>
      </c>
      <c r="AQ10" s="2">
        <v>50725.788417926196</v>
      </c>
      <c r="AR10" s="2">
        <v>63231.1014953173</v>
      </c>
      <c r="AS10" s="2">
        <v>61937.325573974798</v>
      </c>
      <c r="AT10" s="2">
        <v>40908.418622627003</v>
      </c>
      <c r="AU10" s="2">
        <v>82173.660326925296</v>
      </c>
      <c r="AV10" s="2">
        <v>50681.935740497203</v>
      </c>
      <c r="AW10" s="2">
        <v>97602.820553900703</v>
      </c>
      <c r="AX10" s="2">
        <v>78837.045550101</v>
      </c>
      <c r="AY10" s="2">
        <v>69347.772457665997</v>
      </c>
      <c r="AZ10" s="2">
        <v>35875.419560737901</v>
      </c>
      <c r="BA10" s="2">
        <v>68656.497298121496</v>
      </c>
      <c r="BB10" s="2">
        <v>64115.212148693499</v>
      </c>
      <c r="BC10" s="2">
        <v>64545.937014740302</v>
      </c>
      <c r="BD10" s="2">
        <v>55184.051807827003</v>
      </c>
      <c r="BE10" s="2">
        <v>46164.869823480498</v>
      </c>
      <c r="BF10" s="2">
        <v>37395.358367497698</v>
      </c>
      <c r="BG10" s="2">
        <v>48939.182758276103</v>
      </c>
      <c r="BH10" s="2">
        <v>51175.436661109197</v>
      </c>
      <c r="BI10" s="2">
        <v>43568.223390215098</v>
      </c>
      <c r="BJ10" s="2">
        <v>37832.799244697897</v>
      </c>
      <c r="BK10" s="2">
        <v>50181.438914877399</v>
      </c>
      <c r="BL10" s="2">
        <v>59187.729220819601</v>
      </c>
      <c r="BM10" s="2">
        <v>48350.769597030201</v>
      </c>
      <c r="BN10" s="2">
        <v>39736.121119491698</v>
      </c>
      <c r="BO10" s="2">
        <v>31743.6080648241</v>
      </c>
      <c r="BP10" s="2">
        <v>46951.663063824002</v>
      </c>
      <c r="BQ10" s="2">
        <v>76142.001541396501</v>
      </c>
      <c r="BR10" s="2">
        <v>52692.919276669803</v>
      </c>
      <c r="BS10" s="2">
        <v>73899.640045273802</v>
      </c>
      <c r="BT10" s="2">
        <v>55302.870783931503</v>
      </c>
      <c r="BU10" s="2">
        <v>66963.8741637973</v>
      </c>
      <c r="BV10" s="2">
        <v>21530.930588638101</v>
      </c>
      <c r="BW10" s="2">
        <v>62119.8031752147</v>
      </c>
      <c r="BX10" s="2">
        <v>51957.048902361297</v>
      </c>
      <c r="BY10" s="2">
        <v>48467.588055750501</v>
      </c>
      <c r="BZ10" s="2">
        <v>53077.613575638803</v>
      </c>
      <c r="CA10">
        <f t="shared" si="8"/>
        <v>-0.1732613784733881</v>
      </c>
      <c r="CB10">
        <f t="shared" si="9"/>
        <v>-0.23307512819519782</v>
      </c>
      <c r="CC10">
        <f t="shared" si="10"/>
        <v>0.27913160841214057</v>
      </c>
      <c r="CD10">
        <f t="shared" si="11"/>
        <v>-8.6931898564709967E-2</v>
      </c>
      <c r="CE10" s="3">
        <f t="shared" si="12"/>
        <v>0.25408927381956115</v>
      </c>
      <c r="CF10" s="3">
        <f t="shared" si="13"/>
        <v>0.26823791537599795</v>
      </c>
      <c r="CG10" s="3">
        <f t="shared" si="14"/>
        <v>0.14253872050974453</v>
      </c>
      <c r="CH10" s="3">
        <f t="shared" si="15"/>
        <v>0.50328381654355048</v>
      </c>
      <c r="CI10" s="2">
        <v>46894.662554560899</v>
      </c>
      <c r="CJ10" s="2">
        <v>47584.016326472003</v>
      </c>
      <c r="CK10" s="2">
        <v>64188.328706039698</v>
      </c>
      <c r="CL10" s="2">
        <v>76012.125218240704</v>
      </c>
      <c r="CM10" s="2">
        <v>63276.489643078399</v>
      </c>
      <c r="CN10" s="2">
        <v>64586.1578753059</v>
      </c>
      <c r="CO10" s="2">
        <v>58283.8989560919</v>
      </c>
      <c r="CP10" s="2">
        <v>60270.445046064102</v>
      </c>
      <c r="CQ10" s="2">
        <v>61582.733690585097</v>
      </c>
      <c r="CR10" s="2">
        <v>62112.146847411801</v>
      </c>
      <c r="CS10" s="2">
        <v>65345.111995845698</v>
      </c>
      <c r="CT10" s="2">
        <v>60939.220500633302</v>
      </c>
      <c r="CU10" s="2">
        <v>207.95243832477701</v>
      </c>
      <c r="CV10" s="2">
        <v>202.00194630856501</v>
      </c>
      <c r="CW10" s="2">
        <v>207.26828302520801</v>
      </c>
      <c r="CX10" s="2">
        <v>249.665219120389</v>
      </c>
      <c r="CY10" s="2">
        <v>243.790667232993</v>
      </c>
      <c r="CZ10" s="1">
        <v>247.58148688146599</v>
      </c>
    </row>
    <row r="11" spans="1:104" x14ac:dyDescent="0.2">
      <c r="A11">
        <v>7310</v>
      </c>
      <c r="B11" s="2">
        <v>132</v>
      </c>
      <c r="C11" s="2" t="s">
        <v>8</v>
      </c>
      <c r="D11" s="2" t="s">
        <v>268</v>
      </c>
      <c r="E11" s="2" t="s">
        <v>267</v>
      </c>
      <c r="F11" s="2" t="s">
        <v>266</v>
      </c>
      <c r="G11" s="2" t="s">
        <v>265</v>
      </c>
      <c r="H11" s="2">
        <v>2</v>
      </c>
      <c r="I11" s="2" t="s">
        <v>264</v>
      </c>
      <c r="J11" s="2">
        <v>799.53702999999996</v>
      </c>
      <c r="K11" s="2">
        <v>799.53700000000003</v>
      </c>
      <c r="L11" s="2">
        <v>798.52865659999998</v>
      </c>
      <c r="M11" s="2">
        <v>3.7810000000000001</v>
      </c>
      <c r="N11" s="2">
        <v>3.78</v>
      </c>
      <c r="O11" s="2">
        <v>0.78963860455400037</v>
      </c>
      <c r="P11" s="5" t="s">
        <v>157</v>
      </c>
      <c r="Q11" s="2">
        <v>4.7869999999999999</v>
      </c>
      <c r="R11" s="2">
        <v>1</v>
      </c>
      <c r="S11" s="2" t="s">
        <v>2</v>
      </c>
      <c r="T11" s="2" t="s">
        <v>1</v>
      </c>
      <c r="U11">
        <f t="shared" si="0"/>
        <v>0.26510198789455908</v>
      </c>
      <c r="V11">
        <f t="shared" si="1"/>
        <v>-7.0983210410475894E-2</v>
      </c>
      <c r="W11">
        <f t="shared" si="2"/>
        <v>0.46034839070531353</v>
      </c>
      <c r="X11">
        <f t="shared" si="3"/>
        <v>0.34462482817729434</v>
      </c>
      <c r="Y11">
        <f t="shared" si="4"/>
        <v>0.61486561192588174</v>
      </c>
      <c r="Z11">
        <f t="shared" si="5"/>
        <v>0.81240031997160611</v>
      </c>
      <c r="AA11">
        <f t="shared" si="6"/>
        <v>0.57391038779118597</v>
      </c>
      <c r="AB11">
        <f t="shared" si="7"/>
        <v>4.2614713701460839E-2</v>
      </c>
      <c r="AC11" s="2">
        <v>23845.325488693601</v>
      </c>
      <c r="AD11" s="2">
        <v>22805.281737389501</v>
      </c>
      <c r="AE11" s="2">
        <v>28927.143552653401</v>
      </c>
      <c r="AF11" s="2">
        <v>22837.240635390201</v>
      </c>
      <c r="AG11" s="2">
        <v>22993.1678835727</v>
      </c>
      <c r="AH11" s="2">
        <v>29713.184631946398</v>
      </c>
      <c r="AI11" s="2">
        <v>17201.993974319699</v>
      </c>
      <c r="AJ11" s="2">
        <v>27631.372686855098</v>
      </c>
      <c r="AK11" s="2">
        <v>28806.077909998399</v>
      </c>
      <c r="AL11" s="2">
        <v>24735.404204269998</v>
      </c>
      <c r="AM11" s="2">
        <v>32465.3658805345</v>
      </c>
      <c r="AN11" s="2">
        <v>17893.087539414799</v>
      </c>
      <c r="AO11" s="2">
        <v>21889.2426095435</v>
      </c>
      <c r="AP11" s="2">
        <v>31252.2577630751</v>
      </c>
      <c r="AQ11" s="2">
        <v>21722.550227355201</v>
      </c>
      <c r="AR11" s="2">
        <v>32585.1500428734</v>
      </c>
      <c r="AS11" s="2">
        <v>34641.733049537201</v>
      </c>
      <c r="AT11" s="2">
        <v>12564.219110276201</v>
      </c>
      <c r="AU11" s="2">
        <v>31635.702613402598</v>
      </c>
      <c r="AV11" s="2">
        <v>22534.774477406099</v>
      </c>
      <c r="AW11" s="2">
        <v>29761.126566086001</v>
      </c>
      <c r="AX11" s="2">
        <v>29540.299545929702</v>
      </c>
      <c r="AY11" s="2">
        <v>29197.201080229999</v>
      </c>
      <c r="AZ11" s="2">
        <v>24488.825689236099</v>
      </c>
      <c r="BA11" s="2">
        <v>27045.625046708501</v>
      </c>
      <c r="BB11" s="2">
        <v>28434.9051861197</v>
      </c>
      <c r="BC11" s="2">
        <v>22470.042839249501</v>
      </c>
      <c r="BD11" s="2">
        <v>40245.613832755902</v>
      </c>
      <c r="BE11" s="2">
        <v>32912.749161743202</v>
      </c>
      <c r="BF11" s="2">
        <v>22512.744121922999</v>
      </c>
      <c r="BG11" s="2">
        <v>22959.489739228698</v>
      </c>
      <c r="BH11" s="2">
        <v>22148.5854500405</v>
      </c>
      <c r="BI11" s="2">
        <v>19040.844539298301</v>
      </c>
      <c r="BJ11" s="2">
        <v>28692.4098645228</v>
      </c>
      <c r="BK11" s="2">
        <v>19547.231025205601</v>
      </c>
      <c r="BL11" s="2">
        <v>25606.922258657702</v>
      </c>
      <c r="BM11" s="2">
        <v>27394.5286796822</v>
      </c>
      <c r="BN11" s="2">
        <v>18200.339681973499</v>
      </c>
      <c r="BO11" s="2">
        <v>19307.287036404199</v>
      </c>
      <c r="BP11" s="2">
        <v>33765.011864753302</v>
      </c>
      <c r="BQ11" s="2">
        <v>40034.8866527067</v>
      </c>
      <c r="BR11" s="2">
        <v>33150.7495816343</v>
      </c>
      <c r="BS11" s="2">
        <v>23973.581392067099</v>
      </c>
      <c r="BT11" s="2">
        <v>25587.395648470399</v>
      </c>
      <c r="BU11" s="2">
        <v>33995.908572750901</v>
      </c>
      <c r="BV11" s="2">
        <v>29123.997375881299</v>
      </c>
      <c r="BW11" s="2">
        <v>27710.469117368801</v>
      </c>
      <c r="BX11" s="2">
        <v>26541.558831466202</v>
      </c>
      <c r="BY11" s="2">
        <v>22685.294097515201</v>
      </c>
      <c r="BZ11" s="2">
        <v>42411.387159770296</v>
      </c>
      <c r="CA11">
        <f t="shared" si="8"/>
        <v>-0.36044843173503083</v>
      </c>
      <c r="CB11">
        <f t="shared" si="9"/>
        <v>-0.15112913046595375</v>
      </c>
      <c r="CC11">
        <f t="shared" si="10"/>
        <v>0.22137849817217395</v>
      </c>
      <c r="CD11">
        <f t="shared" si="11"/>
        <v>-3.7231858982426931E-2</v>
      </c>
      <c r="CE11" s="3">
        <f t="shared" si="12"/>
        <v>0.10803435498896848</v>
      </c>
      <c r="CF11" s="3">
        <f t="shared" si="13"/>
        <v>0.34073195458770006</v>
      </c>
      <c r="CG11" s="3">
        <f t="shared" si="14"/>
        <v>0.66128577381842768</v>
      </c>
      <c r="CH11" s="3">
        <f t="shared" si="15"/>
        <v>0.9383192665394906</v>
      </c>
      <c r="CI11" s="2">
        <v>16669.963399997901</v>
      </c>
      <c r="CJ11" s="2">
        <v>17103.494954613299</v>
      </c>
      <c r="CK11" s="2">
        <v>17647.528658345898</v>
      </c>
      <c r="CL11" s="2">
        <v>18464.523101377799</v>
      </c>
      <c r="CM11" s="2">
        <v>27691.2840509862</v>
      </c>
      <c r="CN11" s="2">
        <v>27886.5646673423</v>
      </c>
      <c r="CO11" s="2">
        <v>26709.976394559599</v>
      </c>
      <c r="CP11" s="2">
        <v>26137.8967458068</v>
      </c>
      <c r="CQ11" s="2">
        <v>27034.519565929499</v>
      </c>
      <c r="CR11" s="2">
        <v>27899.6563671441</v>
      </c>
      <c r="CS11" s="2">
        <v>27251.760074075599</v>
      </c>
      <c r="CT11" s="2">
        <v>27486.545742701201</v>
      </c>
      <c r="CU11" s="2">
        <v>177.659954728006</v>
      </c>
      <c r="CV11" s="2">
        <v>180.62321373963999</v>
      </c>
      <c r="CW11" s="2">
        <v>192.73772312061701</v>
      </c>
      <c r="CX11" s="2">
        <v>204.67916679171901</v>
      </c>
      <c r="CY11" s="2">
        <v>188.37021254493101</v>
      </c>
      <c r="CZ11" s="1">
        <v>194.51530577537599</v>
      </c>
    </row>
    <row r="12" spans="1:104" x14ac:dyDescent="0.2">
      <c r="A12">
        <v>7309</v>
      </c>
      <c r="B12" s="2">
        <v>130</v>
      </c>
      <c r="C12" s="2" t="s">
        <v>8</v>
      </c>
      <c r="D12" s="2" t="s">
        <v>263</v>
      </c>
      <c r="E12" s="2" t="s">
        <v>262</v>
      </c>
      <c r="F12" s="2" t="s">
        <v>261</v>
      </c>
      <c r="G12" s="2" t="s">
        <v>260</v>
      </c>
      <c r="H12" s="2">
        <v>2</v>
      </c>
      <c r="I12" s="2" t="s">
        <v>259</v>
      </c>
      <c r="J12" s="2">
        <v>817.58397000000002</v>
      </c>
      <c r="K12" s="2">
        <v>817.58399999999995</v>
      </c>
      <c r="L12" s="2">
        <v>816.57559660000004</v>
      </c>
      <c r="M12" s="2">
        <v>5.0279999999999996</v>
      </c>
      <c r="N12" s="2">
        <v>5.03</v>
      </c>
      <c r="O12" s="2">
        <v>1.0507624817213286</v>
      </c>
      <c r="P12" s="5" t="s">
        <v>157</v>
      </c>
      <c r="Q12" s="2">
        <v>4.7869999999999999</v>
      </c>
      <c r="R12" s="2">
        <v>1</v>
      </c>
      <c r="S12" s="2" t="s">
        <v>2</v>
      </c>
      <c r="T12" s="2" t="s">
        <v>1</v>
      </c>
      <c r="U12">
        <f t="shared" si="0"/>
        <v>0.12557302522135502</v>
      </c>
      <c r="V12">
        <f t="shared" si="1"/>
        <v>-4.0942279568882585E-2</v>
      </c>
      <c r="W12">
        <f t="shared" si="2"/>
        <v>0.34300949644695866</v>
      </c>
      <c r="X12">
        <f t="shared" si="3"/>
        <v>0.43493035178224132</v>
      </c>
      <c r="Y12">
        <f t="shared" si="4"/>
        <v>0.42618038100707289</v>
      </c>
      <c r="Z12">
        <f t="shared" si="5"/>
        <v>0.82325465487931637</v>
      </c>
      <c r="AA12">
        <f t="shared" si="6"/>
        <v>0.33005319121613147</v>
      </c>
      <c r="AB12">
        <f t="shared" si="7"/>
        <v>2.2771857518674561E-2</v>
      </c>
      <c r="AC12" s="2">
        <v>90595.193443638302</v>
      </c>
      <c r="AD12" s="2">
        <v>113457.272812664</v>
      </c>
      <c r="AE12" s="2">
        <v>99266.175951315498</v>
      </c>
      <c r="AF12" s="2">
        <v>82828.271392352704</v>
      </c>
      <c r="AG12" s="2">
        <v>71595.437688536505</v>
      </c>
      <c r="AH12" s="2">
        <v>106511.70188177199</v>
      </c>
      <c r="AI12" s="2">
        <v>89898.276546449997</v>
      </c>
      <c r="AJ12" s="2">
        <v>121779.566282623</v>
      </c>
      <c r="AK12" s="2">
        <v>98834.007157579093</v>
      </c>
      <c r="AL12" s="2">
        <v>82144.8586605194</v>
      </c>
      <c r="AM12" s="2">
        <v>107788.178988103</v>
      </c>
      <c r="AN12" s="2">
        <v>68262.658523774706</v>
      </c>
      <c r="AO12" s="2">
        <v>82609.282231221601</v>
      </c>
      <c r="AP12" s="2">
        <v>88060.328743268896</v>
      </c>
      <c r="AQ12" s="2">
        <v>99621.134316863594</v>
      </c>
      <c r="AR12" s="2">
        <v>114910.9205754</v>
      </c>
      <c r="AS12" s="2">
        <v>117644.45663852899</v>
      </c>
      <c r="AT12" s="2">
        <v>70759.478367305099</v>
      </c>
      <c r="AU12" s="2">
        <v>134441.69230947699</v>
      </c>
      <c r="AV12" s="2">
        <v>89178.502674107905</v>
      </c>
      <c r="AW12" s="2">
        <v>153299.42124896101</v>
      </c>
      <c r="AX12" s="2">
        <v>95320.979032683201</v>
      </c>
      <c r="AY12" s="2">
        <v>146174.74756261401</v>
      </c>
      <c r="AZ12" s="2">
        <v>122470.710840935</v>
      </c>
      <c r="BA12" s="2">
        <v>117828.170733008</v>
      </c>
      <c r="BB12" s="2">
        <v>118837.837157213</v>
      </c>
      <c r="BC12" s="2">
        <v>103927.079542495</v>
      </c>
      <c r="BD12" s="2">
        <v>120728.22447310299</v>
      </c>
      <c r="BE12" s="2">
        <v>109908.58034298501</v>
      </c>
      <c r="BF12" s="2">
        <v>74806.563121193103</v>
      </c>
      <c r="BG12" s="2">
        <v>75840.516512661896</v>
      </c>
      <c r="BH12" s="2">
        <v>88034.014391924793</v>
      </c>
      <c r="BI12" s="2">
        <v>63429.4200630997</v>
      </c>
      <c r="BJ12" s="2">
        <v>67795.315162776795</v>
      </c>
      <c r="BK12" s="2">
        <v>61939.077703531999</v>
      </c>
      <c r="BL12" s="2">
        <v>83265.871701426106</v>
      </c>
      <c r="BM12" s="2">
        <v>77289.699344429799</v>
      </c>
      <c r="BN12" s="2">
        <v>49865.9158691544</v>
      </c>
      <c r="BO12" s="2">
        <v>81687.465014006695</v>
      </c>
      <c r="BP12" s="2">
        <v>87819.235405528598</v>
      </c>
      <c r="BQ12" s="2">
        <v>127740.914719416</v>
      </c>
      <c r="BR12" s="2">
        <v>113891.83283216201</v>
      </c>
      <c r="BS12" s="2">
        <v>112539.15072850601</v>
      </c>
      <c r="BT12" s="2">
        <v>84262.503711755693</v>
      </c>
      <c r="BU12" s="2">
        <v>124747.383613361</v>
      </c>
      <c r="BV12" s="2">
        <v>122966.719920428</v>
      </c>
      <c r="BW12" s="2">
        <v>122674.828736927</v>
      </c>
      <c r="BX12" s="2">
        <v>99953.122039615104</v>
      </c>
      <c r="BY12" s="2">
        <v>91894.213768685397</v>
      </c>
      <c r="BZ12" s="2">
        <v>143052.93698852399</v>
      </c>
      <c r="CA12">
        <f t="shared" si="8"/>
        <v>-0.69704653115851445</v>
      </c>
      <c r="CB12">
        <f t="shared" si="9"/>
        <v>-0.42811740087153793</v>
      </c>
      <c r="CC12">
        <f t="shared" si="10"/>
        <v>5.1360276290822737E-2</v>
      </c>
      <c r="CD12">
        <f t="shared" si="11"/>
        <v>0.15853523829998126</v>
      </c>
      <c r="CE12" s="3">
        <f t="shared" si="12"/>
        <v>7.2629908634598943E-3</v>
      </c>
      <c r="CF12" s="3">
        <f t="shared" si="13"/>
        <v>2.4087357433878298E-2</v>
      </c>
      <c r="CG12" s="3">
        <f t="shared" si="14"/>
        <v>0.55323503472917435</v>
      </c>
      <c r="CH12" s="3">
        <f t="shared" si="15"/>
        <v>0.42037171435894416</v>
      </c>
      <c r="CI12" s="2">
        <v>85741.259251592404</v>
      </c>
      <c r="CJ12" s="2">
        <v>94528.255581389298</v>
      </c>
      <c r="CK12" s="2">
        <v>105584.777741723</v>
      </c>
      <c r="CL12" s="2">
        <v>118150.010157674</v>
      </c>
      <c r="CM12" s="2">
        <v>100428.71938355701</v>
      </c>
      <c r="CN12" s="2">
        <v>103631.759475685</v>
      </c>
      <c r="CO12" s="2">
        <v>104068.584083234</v>
      </c>
      <c r="CP12" s="2">
        <v>97636.156426826405</v>
      </c>
      <c r="CQ12" s="2">
        <v>97006.9165936465</v>
      </c>
      <c r="CR12" s="2">
        <v>98086.420247087299</v>
      </c>
      <c r="CS12" s="2">
        <v>104536.61966309301</v>
      </c>
      <c r="CT12" s="2">
        <v>102665.68984536199</v>
      </c>
      <c r="CU12" s="2">
        <v>210.022506514057</v>
      </c>
      <c r="CV12" s="2">
        <v>205.052496623618</v>
      </c>
      <c r="CW12" s="2">
        <v>206.667075302901</v>
      </c>
      <c r="CX12" s="2">
        <v>248.130365481865</v>
      </c>
      <c r="CY12" s="2">
        <v>244.498767120943</v>
      </c>
      <c r="CZ12" s="1">
        <v>241.63721701247599</v>
      </c>
    </row>
    <row r="13" spans="1:104" x14ac:dyDescent="0.2">
      <c r="A13">
        <v>7308</v>
      </c>
      <c r="B13" s="2">
        <v>129</v>
      </c>
      <c r="C13" s="2" t="s">
        <v>8</v>
      </c>
      <c r="D13" s="2" t="s">
        <v>258</v>
      </c>
      <c r="E13" s="2" t="s">
        <v>257</v>
      </c>
      <c r="F13" s="2" t="s">
        <v>256</v>
      </c>
      <c r="G13" s="2" t="s">
        <v>255</v>
      </c>
      <c r="H13" s="2">
        <v>2</v>
      </c>
      <c r="I13" s="2" t="s">
        <v>254</v>
      </c>
      <c r="J13" s="2">
        <v>813.55259999999998</v>
      </c>
      <c r="K13" s="2">
        <v>813.55259999999998</v>
      </c>
      <c r="L13" s="2">
        <v>812.5442266</v>
      </c>
      <c r="M13" s="2">
        <v>4.1059999999999999</v>
      </c>
      <c r="N13" s="2">
        <v>4.1100000000000003</v>
      </c>
      <c r="O13" s="2">
        <v>0.85857530812617511</v>
      </c>
      <c r="P13" s="5" t="s">
        <v>157</v>
      </c>
      <c r="Q13" s="2">
        <v>4.7869999999999999</v>
      </c>
      <c r="R13" s="2">
        <v>1</v>
      </c>
      <c r="S13" s="2" t="s">
        <v>2</v>
      </c>
      <c r="T13" s="2" t="s">
        <v>1</v>
      </c>
      <c r="U13">
        <f t="shared" si="0"/>
        <v>0.26149446718829999</v>
      </c>
      <c r="V13">
        <f t="shared" si="1"/>
        <v>0.18058840776095078</v>
      </c>
      <c r="W13">
        <f t="shared" si="2"/>
        <v>0.3183497057008543</v>
      </c>
      <c r="X13">
        <f t="shared" si="3"/>
        <v>0.2026693290335505</v>
      </c>
      <c r="Y13">
        <f t="shared" si="4"/>
        <v>3.9520911260883619E-2</v>
      </c>
      <c r="Z13">
        <f t="shared" si="5"/>
        <v>5.627209921184511E-2</v>
      </c>
      <c r="AA13">
        <f t="shared" si="6"/>
        <v>0.44983583462890953</v>
      </c>
      <c r="AB13">
        <f t="shared" si="7"/>
        <v>6.1700092852191588E-3</v>
      </c>
      <c r="AC13" s="2">
        <v>38640.323094473802</v>
      </c>
      <c r="AD13" s="2">
        <v>37150.677787692097</v>
      </c>
      <c r="AE13" s="2">
        <v>39846.661983833299</v>
      </c>
      <c r="AF13" s="2">
        <v>31242.151443656301</v>
      </c>
      <c r="AG13" s="2">
        <v>32310.910383681701</v>
      </c>
      <c r="AH13" s="2">
        <v>43601.790142413098</v>
      </c>
      <c r="AI13" s="2">
        <v>34390.281770071197</v>
      </c>
      <c r="AJ13" s="2">
        <v>50749.530129660801</v>
      </c>
      <c r="AK13" s="2">
        <v>57055.289013661401</v>
      </c>
      <c r="AL13" s="2">
        <v>44533.252988507302</v>
      </c>
      <c r="AM13" s="2">
        <v>48297.535984751099</v>
      </c>
      <c r="AN13" s="2">
        <v>34269.430932453601</v>
      </c>
      <c r="AO13" s="2">
        <v>41240.886829074298</v>
      </c>
      <c r="AP13" s="2">
        <v>50322.235088772301</v>
      </c>
      <c r="AQ13" s="2">
        <v>42104.573176127298</v>
      </c>
      <c r="AR13" s="2">
        <v>46323.306592139903</v>
      </c>
      <c r="AS13" s="2">
        <v>51286.780146416299</v>
      </c>
      <c r="AT13" s="2">
        <v>21234.2286213349</v>
      </c>
      <c r="AU13" s="2">
        <v>49852.503120458503</v>
      </c>
      <c r="AV13" s="2">
        <v>34138.408106924398</v>
      </c>
      <c r="AW13" s="2">
        <v>42328.768270275301</v>
      </c>
      <c r="AX13" s="2">
        <v>52106.332761231999</v>
      </c>
      <c r="AY13" s="2">
        <v>42753.954311707101</v>
      </c>
      <c r="AZ13" s="2">
        <v>42396.798604403702</v>
      </c>
      <c r="BA13" s="2">
        <v>46938.3572271679</v>
      </c>
      <c r="BB13" s="2">
        <v>58740.586310277402</v>
      </c>
      <c r="BC13" s="2">
        <v>53452.184511364503</v>
      </c>
      <c r="BD13" s="2">
        <v>75206.412022525197</v>
      </c>
      <c r="BE13" s="2">
        <v>59054.138424506396</v>
      </c>
      <c r="BF13" s="2">
        <v>44091.557910422802</v>
      </c>
      <c r="BG13" s="2">
        <v>45083.264823868703</v>
      </c>
      <c r="BH13" s="2">
        <v>53455.193207281001</v>
      </c>
      <c r="BI13" s="2">
        <v>42365.755940568997</v>
      </c>
      <c r="BJ13" s="2">
        <v>51590.296255177796</v>
      </c>
      <c r="BK13" s="2">
        <v>37706.474427306501</v>
      </c>
      <c r="BL13" s="2">
        <v>50522.762139168102</v>
      </c>
      <c r="BM13" s="2">
        <v>53184.196343054296</v>
      </c>
      <c r="BN13" s="2">
        <v>38640.703301997099</v>
      </c>
      <c r="BO13" s="2">
        <v>42802.495842899203</v>
      </c>
      <c r="BP13" s="2">
        <v>62471.761588543697</v>
      </c>
      <c r="BQ13" s="2">
        <v>72086.049820915403</v>
      </c>
      <c r="BR13" s="2">
        <v>64517.240662226301</v>
      </c>
      <c r="BS13" s="2">
        <v>49316.567798161603</v>
      </c>
      <c r="BT13" s="2">
        <v>46871.509024466701</v>
      </c>
      <c r="BU13" s="2">
        <v>60240.2588472723</v>
      </c>
      <c r="BV13" s="2">
        <v>61272.4597987382</v>
      </c>
      <c r="BW13" s="2">
        <v>54472.566755772699</v>
      </c>
      <c r="BX13" s="2">
        <v>50704.919650591699</v>
      </c>
      <c r="BY13" s="2">
        <v>43809.953892505902</v>
      </c>
      <c r="BZ13" s="2">
        <v>66479.1944071014</v>
      </c>
      <c r="CA13">
        <f t="shared" si="8"/>
        <v>-0.38176566990632044</v>
      </c>
      <c r="CB13">
        <f t="shared" si="9"/>
        <v>-0.21742415065094944</v>
      </c>
      <c r="CC13">
        <f t="shared" si="10"/>
        <v>3.6370303384167135E-2</v>
      </c>
      <c r="CD13">
        <f t="shared" si="11"/>
        <v>-0.10882781698342528</v>
      </c>
      <c r="CE13" s="3">
        <f t="shared" si="12"/>
        <v>7.2500397607399902E-2</v>
      </c>
      <c r="CF13" s="3">
        <f t="shared" si="13"/>
        <v>0.22620990505654365</v>
      </c>
      <c r="CG13" s="3">
        <f t="shared" si="14"/>
        <v>0.94439261595052981</v>
      </c>
      <c r="CH13" s="3">
        <f t="shared" si="15"/>
        <v>0.67883118520854646</v>
      </c>
      <c r="CI13" s="2">
        <v>39779.7759565175</v>
      </c>
      <c r="CJ13" s="2">
        <v>38538.049700961703</v>
      </c>
      <c r="CK13" s="2">
        <v>41272.9606880676</v>
      </c>
      <c r="CL13" s="2">
        <v>41059.164013599002</v>
      </c>
      <c r="CM13" s="2">
        <v>47538.295174175299</v>
      </c>
      <c r="CN13" s="2">
        <v>49873.929632831903</v>
      </c>
      <c r="CO13" s="2">
        <v>46363.186591309699</v>
      </c>
      <c r="CP13" s="2">
        <v>50186.8252577413</v>
      </c>
      <c r="CQ13" s="2">
        <v>46911.166686642297</v>
      </c>
      <c r="CR13" s="2">
        <v>49887.0869673739</v>
      </c>
      <c r="CS13" s="2">
        <v>47567.2479274898</v>
      </c>
      <c r="CT13" s="2">
        <v>48222.851021274102</v>
      </c>
      <c r="CU13" s="2">
        <v>192.84683323094899</v>
      </c>
      <c r="CV13" s="2">
        <v>183.76601406884299</v>
      </c>
      <c r="CW13" s="2">
        <v>195.658536243127</v>
      </c>
      <c r="CX13" s="2">
        <v>196.531276442842</v>
      </c>
      <c r="CY13" s="2">
        <v>186.15965400260299</v>
      </c>
      <c r="CZ13" s="1">
        <v>203.88801080226801</v>
      </c>
    </row>
    <row r="14" spans="1:104" x14ac:dyDescent="0.2">
      <c r="A14">
        <v>7307</v>
      </c>
      <c r="B14" s="2">
        <v>128</v>
      </c>
      <c r="C14" s="2" t="s">
        <v>8</v>
      </c>
      <c r="D14" s="2" t="s">
        <v>253</v>
      </c>
      <c r="E14" s="2" t="s">
        <v>252</v>
      </c>
      <c r="F14" s="2" t="s">
        <v>251</v>
      </c>
      <c r="G14" s="2" t="s">
        <v>250</v>
      </c>
      <c r="H14" s="2">
        <v>2</v>
      </c>
      <c r="I14" s="2" t="s">
        <v>249</v>
      </c>
      <c r="J14" s="2">
        <v>833.61595</v>
      </c>
      <c r="K14" s="2">
        <v>833.61599999999999</v>
      </c>
      <c r="L14" s="2">
        <v>832.60757660000002</v>
      </c>
      <c r="M14" s="2">
        <v>6.1820000000000004</v>
      </c>
      <c r="N14" s="2">
        <v>6.18</v>
      </c>
      <c r="O14" s="2">
        <v>1.2909964487152705</v>
      </c>
      <c r="P14" s="5" t="s">
        <v>157</v>
      </c>
      <c r="Q14" s="2">
        <v>4.7869999999999999</v>
      </c>
      <c r="R14" s="2">
        <v>1</v>
      </c>
      <c r="S14" s="2" t="s">
        <v>2</v>
      </c>
      <c r="T14" s="2" t="s">
        <v>1</v>
      </c>
      <c r="U14">
        <f t="shared" si="0"/>
        <v>0.25181416674327661</v>
      </c>
      <c r="V14">
        <f t="shared" si="1"/>
        <v>0.42613743755420297</v>
      </c>
      <c r="W14">
        <f t="shared" si="2"/>
        <v>0.63199088310855944</v>
      </c>
      <c r="X14">
        <f t="shared" si="3"/>
        <v>0.40424850343938679</v>
      </c>
      <c r="Y14">
        <f t="shared" si="4"/>
        <v>2.1283448646126349E-3</v>
      </c>
      <c r="Z14">
        <f t="shared" si="5"/>
        <v>7.5913790244539814E-2</v>
      </c>
      <c r="AA14">
        <f t="shared" si="6"/>
        <v>3.0764640083297077E-2</v>
      </c>
      <c r="AB14">
        <f t="shared" si="7"/>
        <v>1.6411864534142495E-3</v>
      </c>
      <c r="AC14" s="2">
        <v>470788.57802990498</v>
      </c>
      <c r="AD14" s="2">
        <v>512340.09196013497</v>
      </c>
      <c r="AE14" s="2">
        <v>442055.19410592399</v>
      </c>
      <c r="AF14" s="2">
        <v>508161.48024527403</v>
      </c>
      <c r="AG14" s="2">
        <v>436102.99850132002</v>
      </c>
      <c r="AH14" s="2">
        <v>554472.84083599201</v>
      </c>
      <c r="AI14" s="2">
        <v>600591.89888935501</v>
      </c>
      <c r="AJ14" s="2">
        <v>560569.59124324506</v>
      </c>
      <c r="AK14" s="2">
        <v>651343.67654535105</v>
      </c>
      <c r="AL14" s="2">
        <v>553691.17408803501</v>
      </c>
      <c r="AM14" s="2">
        <v>1082335.7408438299</v>
      </c>
      <c r="AN14" s="2">
        <v>492514.26741596701</v>
      </c>
      <c r="AO14" s="2">
        <v>523655.51213634998</v>
      </c>
      <c r="AP14" s="2">
        <v>632566.32558847603</v>
      </c>
      <c r="AQ14" s="2">
        <v>733042.17830504605</v>
      </c>
      <c r="AR14" s="2">
        <v>746012.00237256696</v>
      </c>
      <c r="AS14" s="2">
        <v>825065.684769126</v>
      </c>
      <c r="AT14" s="2">
        <v>473430.92957937001</v>
      </c>
      <c r="AU14" s="2">
        <v>729582.03333157604</v>
      </c>
      <c r="AV14" s="2">
        <v>518319.60775133001</v>
      </c>
      <c r="AW14" s="2">
        <v>657857.21931747801</v>
      </c>
      <c r="AX14" s="2">
        <v>540241.49616072595</v>
      </c>
      <c r="AY14" s="2">
        <v>581248.68659065804</v>
      </c>
      <c r="AZ14" s="2">
        <v>623041.30997006199</v>
      </c>
      <c r="BA14" s="2">
        <v>690285.17909059196</v>
      </c>
      <c r="BB14" s="2">
        <v>667795.98851162498</v>
      </c>
      <c r="BC14" s="2">
        <v>655423.02829496295</v>
      </c>
      <c r="BD14" s="2">
        <v>643467.13422198896</v>
      </c>
      <c r="BE14" s="2">
        <v>669136.40674386197</v>
      </c>
      <c r="BF14" s="2">
        <v>506143.30688865902</v>
      </c>
      <c r="BG14" s="2">
        <v>536306.19191372499</v>
      </c>
      <c r="BH14" s="2">
        <v>580808.19414908695</v>
      </c>
      <c r="BI14" s="2">
        <v>480527.85324708599</v>
      </c>
      <c r="BJ14" s="2">
        <v>546198.30944193795</v>
      </c>
      <c r="BK14" s="2">
        <v>495857.80014485802</v>
      </c>
      <c r="BL14" s="2">
        <v>557354.99099245504</v>
      </c>
      <c r="BM14" s="2">
        <v>647446.89693423302</v>
      </c>
      <c r="BN14" s="2">
        <v>478563.72247304302</v>
      </c>
      <c r="BO14" s="2">
        <v>557127.09511777002</v>
      </c>
      <c r="BP14" s="2">
        <v>753993.67668363301</v>
      </c>
      <c r="BQ14" s="2">
        <v>669495.166196401</v>
      </c>
      <c r="BR14" s="2">
        <v>674278.61440268601</v>
      </c>
      <c r="BS14" s="2">
        <v>680126.21025439806</v>
      </c>
      <c r="BT14" s="2">
        <v>472241.01278590597</v>
      </c>
      <c r="BU14" s="2">
        <v>807789.56919556297</v>
      </c>
      <c r="BV14" s="2">
        <v>653467.54486238898</v>
      </c>
      <c r="BW14" s="2">
        <v>754102.19262477802</v>
      </c>
      <c r="BX14" s="2">
        <v>643549.30375908699</v>
      </c>
      <c r="BY14" s="2">
        <v>632229.19074855198</v>
      </c>
      <c r="BZ14" s="2">
        <v>810889.35311174905</v>
      </c>
      <c r="CA14">
        <f t="shared" si="8"/>
        <v>-0.28936945280860593</v>
      </c>
      <c r="CB14">
        <f t="shared" si="9"/>
        <v>-0.23382986006485887</v>
      </c>
      <c r="CC14">
        <f t="shared" si="10"/>
        <v>4.0918478620893754E-2</v>
      </c>
      <c r="CD14">
        <f t="shared" si="11"/>
        <v>-4.3107780093425887E-3</v>
      </c>
      <c r="CE14" s="3">
        <f t="shared" si="12"/>
        <v>2.2904669376632155E-2</v>
      </c>
      <c r="CF14" s="3">
        <f t="shared" si="13"/>
        <v>0.61477548885078948</v>
      </c>
      <c r="CG14" s="3">
        <f t="shared" si="14"/>
        <v>0.61556105914191073</v>
      </c>
      <c r="CH14" s="3">
        <f t="shared" si="15"/>
        <v>0.17266790756513348</v>
      </c>
      <c r="CI14" s="2">
        <v>340465.37345259503</v>
      </c>
      <c r="CJ14" s="2">
        <v>338398.54538104002</v>
      </c>
      <c r="CK14" s="2">
        <v>432252.47457834397</v>
      </c>
      <c r="CL14" s="2">
        <v>419373.83960334701</v>
      </c>
      <c r="CM14" s="2">
        <v>623112.45630335005</v>
      </c>
      <c r="CN14" s="2">
        <v>626171.29221054201</v>
      </c>
      <c r="CO14" s="2">
        <v>593060.09717411897</v>
      </c>
      <c r="CP14" s="2">
        <v>622693.19426810404</v>
      </c>
      <c r="CQ14" s="2">
        <v>611859.36250285699</v>
      </c>
      <c r="CR14" s="2">
        <v>604225.88219891605</v>
      </c>
      <c r="CS14" s="2">
        <v>623184.47149955295</v>
      </c>
      <c r="CT14" s="2">
        <v>621232.42387056898</v>
      </c>
      <c r="CU14" s="2">
        <v>331.29848604614398</v>
      </c>
      <c r="CV14" s="2">
        <v>334.99594577951598</v>
      </c>
      <c r="CW14" s="2">
        <v>337.24037744216002</v>
      </c>
      <c r="CX14" s="2">
        <v>399.83442078310702</v>
      </c>
      <c r="CY14" s="2">
        <v>372.53883002612503</v>
      </c>
      <c r="CZ14" s="1">
        <v>351.32356956775601</v>
      </c>
    </row>
    <row r="15" spans="1:104" x14ac:dyDescent="0.2">
      <c r="A15">
        <v>7306</v>
      </c>
      <c r="B15" s="2">
        <v>127</v>
      </c>
      <c r="C15" s="2" t="s">
        <v>8</v>
      </c>
      <c r="D15" s="2" t="s">
        <v>248</v>
      </c>
      <c r="E15" s="2" t="s">
        <v>247</v>
      </c>
      <c r="F15" s="2" t="s">
        <v>246</v>
      </c>
      <c r="G15" s="2" t="s">
        <v>245</v>
      </c>
      <c r="H15" s="2">
        <v>2</v>
      </c>
      <c r="I15" s="2" t="s">
        <v>244</v>
      </c>
      <c r="J15" s="2">
        <v>831.60090000000002</v>
      </c>
      <c r="K15" s="2">
        <v>831.60090000000002</v>
      </c>
      <c r="L15" s="2">
        <v>830.59252660000004</v>
      </c>
      <c r="M15" s="2">
        <v>5.4889999999999999</v>
      </c>
      <c r="N15" s="2">
        <v>5.49</v>
      </c>
      <c r="O15" s="2">
        <v>1.1468560685189055</v>
      </c>
      <c r="P15" s="5" t="s">
        <v>157</v>
      </c>
      <c r="Q15" s="2">
        <v>4.7869999999999999</v>
      </c>
      <c r="R15" s="2">
        <v>1</v>
      </c>
      <c r="S15" s="2" t="s">
        <v>2</v>
      </c>
      <c r="T15" s="2" t="s">
        <v>1</v>
      </c>
      <c r="U15">
        <f t="shared" si="0"/>
        <v>0.24338510304389654</v>
      </c>
      <c r="V15">
        <f t="shared" si="1"/>
        <v>0.16827255523801085</v>
      </c>
      <c r="W15">
        <f t="shared" si="2"/>
        <v>0.65712414591884427</v>
      </c>
      <c r="X15">
        <f t="shared" si="3"/>
        <v>0.56906133055903318</v>
      </c>
      <c r="Y15">
        <f t="shared" si="4"/>
        <v>0.41395786021885939</v>
      </c>
      <c r="Z15">
        <f t="shared" si="5"/>
        <v>0.45321545681948672</v>
      </c>
      <c r="AA15">
        <f t="shared" si="6"/>
        <v>1.065794141639566E-2</v>
      </c>
      <c r="AB15">
        <f t="shared" si="7"/>
        <v>1.069583604819796E-2</v>
      </c>
      <c r="AC15" s="2">
        <v>1936614.66105416</v>
      </c>
      <c r="AD15" s="2">
        <v>2460735.5908394</v>
      </c>
      <c r="AE15" s="2">
        <v>2146748.8946652701</v>
      </c>
      <c r="AF15" s="2">
        <v>1935153.29475351</v>
      </c>
      <c r="AG15" s="2">
        <v>1871707.06059404</v>
      </c>
      <c r="AH15" s="2">
        <v>2410945.0338601698</v>
      </c>
      <c r="AI15" s="2">
        <v>2045683.15093655</v>
      </c>
      <c r="AJ15" s="2">
        <v>2454091.2015292202</v>
      </c>
      <c r="AK15" s="2">
        <v>2292500.46192881</v>
      </c>
      <c r="AL15" s="2">
        <v>1834677.6530001999</v>
      </c>
      <c r="AM15" s="2">
        <v>3059039.3532380001</v>
      </c>
      <c r="AN15" s="2">
        <v>1702100.0616742801</v>
      </c>
      <c r="AO15" s="2">
        <v>2001712.4021005901</v>
      </c>
      <c r="AP15" s="2">
        <v>2176197.47424505</v>
      </c>
      <c r="AQ15" s="2">
        <v>2408704.2511952999</v>
      </c>
      <c r="AR15" s="2">
        <v>3110539.8914957899</v>
      </c>
      <c r="AS15" s="2">
        <v>3053917.4542564698</v>
      </c>
      <c r="AT15" s="2">
        <v>2351471.8691191301</v>
      </c>
      <c r="AU15" s="2">
        <v>3310095.6359353098</v>
      </c>
      <c r="AV15" s="2">
        <v>2340705.6626228802</v>
      </c>
      <c r="AW15" s="2">
        <v>3475878.0572732398</v>
      </c>
      <c r="AX15" s="2">
        <v>2148820.59522015</v>
      </c>
      <c r="AY15" s="2">
        <v>2962821.7227078401</v>
      </c>
      <c r="AZ15" s="2">
        <v>2825844.6956542698</v>
      </c>
      <c r="BA15" s="2">
        <v>2873080.1736905002</v>
      </c>
      <c r="BB15" s="2">
        <v>2447884.11797398</v>
      </c>
      <c r="BC15" s="2">
        <v>2468741.7616782598</v>
      </c>
      <c r="BD15" s="2">
        <v>2265635.1325912499</v>
      </c>
      <c r="BE15" s="2">
        <v>2539485.51597472</v>
      </c>
      <c r="BF15" s="2">
        <v>1791210.55112564</v>
      </c>
      <c r="BG15" s="2">
        <v>1956932.0110649001</v>
      </c>
      <c r="BH15" s="2">
        <v>2172667.1306097098</v>
      </c>
      <c r="BI15" s="2">
        <v>1581113.4159894299</v>
      </c>
      <c r="BJ15" s="2">
        <v>1804227.5850738899</v>
      </c>
      <c r="BK15" s="2">
        <v>1805102.5415155899</v>
      </c>
      <c r="BL15" s="2">
        <v>2004606.74904488</v>
      </c>
      <c r="BM15" s="2">
        <v>1981366.13953437</v>
      </c>
      <c r="BN15" s="2">
        <v>1567277.9823499999</v>
      </c>
      <c r="BO15" s="2">
        <v>2162273.4757929798</v>
      </c>
      <c r="BP15" s="2">
        <v>2172424.11073951</v>
      </c>
      <c r="BQ15" s="2">
        <v>2461768.9620145499</v>
      </c>
      <c r="BR15" s="2">
        <v>2898654.70756335</v>
      </c>
      <c r="BS15" s="2">
        <v>2971532.8467405499</v>
      </c>
      <c r="BT15" s="2">
        <v>2236620.4118755599</v>
      </c>
      <c r="BU15" s="2">
        <v>3128983.95989651</v>
      </c>
      <c r="BV15" s="2">
        <v>2635609.9923802698</v>
      </c>
      <c r="BW15" s="2">
        <v>2966932.53782258</v>
      </c>
      <c r="BX15" s="2">
        <v>2473259.8235834702</v>
      </c>
      <c r="BY15" s="2">
        <v>2476119.6530391099</v>
      </c>
      <c r="BZ15" s="2">
        <v>3390181.3665216998</v>
      </c>
      <c r="CA15">
        <f t="shared" si="8"/>
        <v>-0.43945446907749941</v>
      </c>
      <c r="CB15">
        <f t="shared" si="9"/>
        <v>-0.28821601720648038</v>
      </c>
      <c r="CC15">
        <f t="shared" si="10"/>
        <v>0.24384822452777252</v>
      </c>
      <c r="CD15">
        <f t="shared" si="11"/>
        <v>0.10660163863225997</v>
      </c>
      <c r="CE15" s="3">
        <f t="shared" si="12"/>
        <v>3.0455583817732015E-2</v>
      </c>
      <c r="CF15" s="3">
        <f t="shared" si="13"/>
        <v>9.9522190831785567E-2</v>
      </c>
      <c r="CG15" s="3">
        <f t="shared" si="14"/>
        <v>7.7132216992070915E-2</v>
      </c>
      <c r="CH15" s="3">
        <f t="shared" si="15"/>
        <v>5.9676207651055649E-2</v>
      </c>
      <c r="CI15" s="2">
        <v>1710553.24318117</v>
      </c>
      <c r="CJ15" s="2">
        <v>1729787.06598265</v>
      </c>
      <c r="CK15" s="2">
        <v>2421352.6184981698</v>
      </c>
      <c r="CL15" s="2">
        <v>2398145.03488778</v>
      </c>
      <c r="CM15" s="2">
        <v>2387545.00468656</v>
      </c>
      <c r="CN15" s="2">
        <v>2452057.39006268</v>
      </c>
      <c r="CO15" s="2">
        <v>2388958.5962703899</v>
      </c>
      <c r="CP15" s="2">
        <v>2408035.1776176598</v>
      </c>
      <c r="CQ15" s="2">
        <v>2431438.5106967799</v>
      </c>
      <c r="CR15" s="2">
        <v>2281919.6940220199</v>
      </c>
      <c r="CS15" s="2">
        <v>2421485.80744245</v>
      </c>
      <c r="CT15" s="2">
        <v>2455427.5203871601</v>
      </c>
      <c r="CU15" s="2">
        <v>229.729082611265</v>
      </c>
      <c r="CV15" s="2">
        <v>223.70057888388999</v>
      </c>
      <c r="CW15" s="2">
        <v>222.494534828365</v>
      </c>
      <c r="CX15" s="2">
        <v>276.40273807476899</v>
      </c>
      <c r="CY15" s="2">
        <v>298.08224912961902</v>
      </c>
      <c r="CZ15" s="1">
        <v>277.83119419134499</v>
      </c>
    </row>
    <row r="16" spans="1:104" x14ac:dyDescent="0.2">
      <c r="A16">
        <v>7304</v>
      </c>
      <c r="B16" s="2">
        <v>125</v>
      </c>
      <c r="C16" s="2" t="s">
        <v>8</v>
      </c>
      <c r="D16" s="2" t="s">
        <v>243</v>
      </c>
      <c r="E16" s="2" t="s">
        <v>242</v>
      </c>
      <c r="F16" s="2" t="s">
        <v>239</v>
      </c>
      <c r="G16" s="2" t="s">
        <v>238</v>
      </c>
      <c r="H16" s="2">
        <v>2</v>
      </c>
      <c r="I16" s="2" t="s">
        <v>237</v>
      </c>
      <c r="J16" s="2">
        <v>829.58408999999995</v>
      </c>
      <c r="K16" s="2">
        <v>829.58410000000003</v>
      </c>
      <c r="L16" s="2">
        <v>828.57571659999996</v>
      </c>
      <c r="M16" s="2">
        <v>4.6550000000000002</v>
      </c>
      <c r="N16" s="2">
        <v>4.66</v>
      </c>
      <c r="O16" s="2">
        <v>0.97346981407979949</v>
      </c>
      <c r="P16" s="5" t="s">
        <v>157</v>
      </c>
      <c r="Q16" s="2">
        <v>4.7869999999999999</v>
      </c>
      <c r="R16" s="2">
        <v>1</v>
      </c>
      <c r="S16" s="2" t="s">
        <v>2</v>
      </c>
      <c r="T16" s="2" t="s">
        <v>1</v>
      </c>
      <c r="U16">
        <f t="shared" si="0"/>
        <v>0.21773437746955251</v>
      </c>
      <c r="V16">
        <f t="shared" si="1"/>
        <v>0.1827033680309269</v>
      </c>
      <c r="W16">
        <f t="shared" si="2"/>
        <v>0.42870857236461085</v>
      </c>
      <c r="X16">
        <f t="shared" si="3"/>
        <v>0.46344711382989812</v>
      </c>
      <c r="Y16">
        <f t="shared" si="4"/>
        <v>0.14159169093889246</v>
      </c>
      <c r="Z16">
        <f t="shared" si="5"/>
        <v>0.4039966259716623</v>
      </c>
      <c r="AA16">
        <f t="shared" si="6"/>
        <v>0.11677939697831495</v>
      </c>
      <c r="AB16">
        <f t="shared" si="7"/>
        <v>5.702815244245334E-3</v>
      </c>
      <c r="AC16" s="2">
        <v>754449.23777622997</v>
      </c>
      <c r="AD16" s="2">
        <v>876908.118719897</v>
      </c>
      <c r="AE16" s="2">
        <v>814741.74425905396</v>
      </c>
      <c r="AF16" s="2">
        <v>712659.91249845596</v>
      </c>
      <c r="AG16" s="2">
        <v>647910.30090628599</v>
      </c>
      <c r="AH16" s="2">
        <v>935242.09899102803</v>
      </c>
      <c r="AI16" s="2">
        <v>732085.73819758999</v>
      </c>
      <c r="AJ16" s="2">
        <v>920492.98349435697</v>
      </c>
      <c r="AK16" s="2">
        <v>877353.47953498398</v>
      </c>
      <c r="AL16" s="2">
        <v>793741.63303255604</v>
      </c>
      <c r="AM16" s="2">
        <v>1046358.26102389</v>
      </c>
      <c r="AN16" s="2">
        <v>654222.14801622403</v>
      </c>
      <c r="AO16" s="2">
        <v>725138.63743034797</v>
      </c>
      <c r="AP16" s="2">
        <v>856306.45571503905</v>
      </c>
      <c r="AQ16" s="2">
        <v>869303.16359542299</v>
      </c>
      <c r="AR16" s="2">
        <v>1015509.90508423</v>
      </c>
      <c r="AS16" s="2">
        <v>1018422.03620602</v>
      </c>
      <c r="AT16" s="2">
        <v>749699.149782583</v>
      </c>
      <c r="AU16" s="2">
        <v>1061725.1013323001</v>
      </c>
      <c r="AV16" s="2">
        <v>707491.84251005296</v>
      </c>
      <c r="AW16" s="2">
        <v>1153989.95746564</v>
      </c>
      <c r="AX16" s="2">
        <v>833684.96085085406</v>
      </c>
      <c r="AY16" s="2">
        <v>1059809.4269946299</v>
      </c>
      <c r="AZ16" s="2">
        <v>1040259.05966205</v>
      </c>
      <c r="BA16" s="2">
        <v>964751.24778280896</v>
      </c>
      <c r="BB16" s="2">
        <v>943068.405392771</v>
      </c>
      <c r="BC16" s="2">
        <v>946916.30914629099</v>
      </c>
      <c r="BD16" s="2">
        <v>818838.13782592001</v>
      </c>
      <c r="BE16" s="2">
        <v>907290.79989979602</v>
      </c>
      <c r="BF16" s="2">
        <v>645767.393641848</v>
      </c>
      <c r="BG16" s="2">
        <v>716766.34867886303</v>
      </c>
      <c r="BH16" s="2">
        <v>796685.40057004697</v>
      </c>
      <c r="BI16" s="2">
        <v>605551.52416268096</v>
      </c>
      <c r="BJ16" s="2">
        <v>735103.25628107297</v>
      </c>
      <c r="BK16" s="2">
        <v>657769.27993898198</v>
      </c>
      <c r="BL16" s="2">
        <v>756540.13859433401</v>
      </c>
      <c r="BM16" s="2">
        <v>794110.31545752496</v>
      </c>
      <c r="BN16" s="2">
        <v>614216.40371677105</v>
      </c>
      <c r="BO16" s="2">
        <v>822106.77597504202</v>
      </c>
      <c r="BP16" s="2">
        <v>824701.29067858797</v>
      </c>
      <c r="BQ16" s="2">
        <v>979254.83233784302</v>
      </c>
      <c r="BR16" s="2">
        <v>915681.97318773402</v>
      </c>
      <c r="BS16" s="2">
        <v>1008211.72257748</v>
      </c>
      <c r="BT16" s="2">
        <v>765680.25875723897</v>
      </c>
      <c r="BU16" s="2">
        <v>1121905.0384094999</v>
      </c>
      <c r="BV16" s="2">
        <v>950177.70778455795</v>
      </c>
      <c r="BW16" s="2">
        <v>1007094.33405225</v>
      </c>
      <c r="BX16" s="2">
        <v>909056.67498153099</v>
      </c>
      <c r="BY16" s="2">
        <v>855420.73696945596</v>
      </c>
      <c r="BZ16" s="2">
        <v>1036892.58989321</v>
      </c>
      <c r="CA16">
        <f t="shared" si="8"/>
        <v>-0.34006212343882786</v>
      </c>
      <c r="CB16">
        <f t="shared" si="9"/>
        <v>-0.19222559340063486</v>
      </c>
      <c r="CC16">
        <f t="shared" si="10"/>
        <v>0.11011931285313833</v>
      </c>
      <c r="CD16">
        <f t="shared" si="11"/>
        <v>6.6632330310358784E-2</v>
      </c>
      <c r="CE16" s="3">
        <f t="shared" si="12"/>
        <v>5.0961500938604951E-2</v>
      </c>
      <c r="CF16" s="3">
        <f t="shared" si="13"/>
        <v>0.22644339739435204</v>
      </c>
      <c r="CG16" s="3">
        <f t="shared" si="14"/>
        <v>0.2301409422969371</v>
      </c>
      <c r="CH16" s="3">
        <f t="shared" si="15"/>
        <v>0.16691117661964544</v>
      </c>
      <c r="CI16" s="2">
        <v>683266.58045510703</v>
      </c>
      <c r="CJ16" s="2">
        <v>702946.46693125297</v>
      </c>
      <c r="CK16" s="2">
        <v>931014.35016989801</v>
      </c>
      <c r="CL16" s="2">
        <v>892478.65509505395</v>
      </c>
      <c r="CM16" s="2">
        <v>888639.61129634106</v>
      </c>
      <c r="CN16" s="2">
        <v>859337.84342752805</v>
      </c>
      <c r="CO16" s="2">
        <v>845884.749072153</v>
      </c>
      <c r="CP16" s="2">
        <v>864930.02427258005</v>
      </c>
      <c r="CQ16" s="2">
        <v>840358.62761711504</v>
      </c>
      <c r="CR16" s="2">
        <v>849987.99229215505</v>
      </c>
      <c r="CS16" s="2">
        <v>853992.76013074804</v>
      </c>
      <c r="CT16" s="2">
        <v>891711.691247746</v>
      </c>
      <c r="CU16" s="2">
        <v>259.13503449557697</v>
      </c>
      <c r="CV16" s="2">
        <v>248.72174439687299</v>
      </c>
      <c r="CW16" s="2">
        <v>245.56926749811501</v>
      </c>
      <c r="CX16" s="2">
        <v>271.34272929417699</v>
      </c>
      <c r="CY16" s="2">
        <v>266.29959602450202</v>
      </c>
      <c r="CZ16" s="1">
        <v>272.03830045920103</v>
      </c>
    </row>
    <row r="17" spans="1:104" x14ac:dyDescent="0.2">
      <c r="A17">
        <v>7305</v>
      </c>
      <c r="B17" s="2">
        <v>126</v>
      </c>
      <c r="C17" s="2" t="s">
        <v>8</v>
      </c>
      <c r="D17" s="2" t="s">
        <v>241</v>
      </c>
      <c r="E17" s="2" t="s">
        <v>240</v>
      </c>
      <c r="F17" s="2" t="s">
        <v>239</v>
      </c>
      <c r="G17" s="2" t="s">
        <v>238</v>
      </c>
      <c r="H17" s="2">
        <v>2</v>
      </c>
      <c r="I17" s="2" t="s">
        <v>237</v>
      </c>
      <c r="J17" s="2">
        <v>829.58407</v>
      </c>
      <c r="K17" s="2">
        <v>829.58410000000003</v>
      </c>
      <c r="L17" s="2">
        <v>828.57569660000001</v>
      </c>
      <c r="M17" s="2">
        <v>4.806</v>
      </c>
      <c r="N17" s="2">
        <v>4.8099999999999996</v>
      </c>
      <c r="O17" s="2">
        <v>1.0048046793398788</v>
      </c>
      <c r="P17" s="5" t="s">
        <v>157</v>
      </c>
      <c r="Q17" s="2">
        <v>4.7869999999999999</v>
      </c>
      <c r="R17" s="2">
        <v>1</v>
      </c>
      <c r="S17" s="2" t="s">
        <v>2</v>
      </c>
      <c r="T17" s="2" t="s">
        <v>1</v>
      </c>
      <c r="U17">
        <f t="shared" si="0"/>
        <v>-0.103110595784541</v>
      </c>
      <c r="V17">
        <f t="shared" si="1"/>
        <v>-0.27057964812272695</v>
      </c>
      <c r="W17">
        <f t="shared" si="2"/>
        <v>-0.12284553704154916</v>
      </c>
      <c r="X17">
        <f t="shared" si="3"/>
        <v>-9.5391878855945952E-2</v>
      </c>
      <c r="Y17">
        <f t="shared" si="4"/>
        <v>0.33616072550895099</v>
      </c>
      <c r="Z17">
        <f t="shared" si="5"/>
        <v>0.12870524853720236</v>
      </c>
      <c r="AA17">
        <f t="shared" si="6"/>
        <v>0.39450378406932085</v>
      </c>
      <c r="AB17">
        <f t="shared" si="7"/>
        <v>0.79690959853718168</v>
      </c>
      <c r="AC17" s="2">
        <v>404500.09611903498</v>
      </c>
      <c r="AD17" s="2">
        <v>546998.78175885195</v>
      </c>
      <c r="AE17" s="2">
        <v>477054.49270400201</v>
      </c>
      <c r="AF17" s="2">
        <v>273494.22794281901</v>
      </c>
      <c r="AG17" s="2">
        <v>405141.96745261201</v>
      </c>
      <c r="AH17" s="2">
        <v>407412.999252651</v>
      </c>
      <c r="AI17" s="2">
        <v>391854.59798677801</v>
      </c>
      <c r="AJ17" s="2">
        <v>377196.67050410801</v>
      </c>
      <c r="AK17" s="2">
        <v>351726.49428324599</v>
      </c>
      <c r="AL17" s="2">
        <v>337493.53743875399</v>
      </c>
      <c r="AM17" s="2">
        <v>391138.20593812899</v>
      </c>
      <c r="AN17" s="2">
        <v>241023.583612332</v>
      </c>
      <c r="AO17" s="2">
        <v>326509.96189265902</v>
      </c>
      <c r="AP17" s="2">
        <v>335857.184135644</v>
      </c>
      <c r="AQ17" s="2">
        <v>370204.42277970799</v>
      </c>
      <c r="AR17" s="2">
        <v>372072.04503037501</v>
      </c>
      <c r="AS17" s="2">
        <v>421056.65551187802</v>
      </c>
      <c r="AT17" s="2">
        <v>256816.58288993101</v>
      </c>
      <c r="AU17" s="2">
        <v>447884.80498962401</v>
      </c>
      <c r="AV17" s="2">
        <v>356949.86283162702</v>
      </c>
      <c r="AW17" s="2">
        <v>510164.09399684099</v>
      </c>
      <c r="AX17" s="2">
        <v>440095.435750384</v>
      </c>
      <c r="AY17" s="2">
        <v>327773.40523280099</v>
      </c>
      <c r="AZ17" s="2">
        <v>376452.97837647801</v>
      </c>
      <c r="BA17" s="2">
        <v>379220.15893852402</v>
      </c>
      <c r="BB17" s="2">
        <v>399661.76597297197</v>
      </c>
      <c r="BC17" s="2">
        <v>282658.94073069398</v>
      </c>
      <c r="BD17" s="2">
        <v>306583.11884938402</v>
      </c>
      <c r="BE17" s="2">
        <v>437618.10434303997</v>
      </c>
      <c r="BF17" s="2">
        <v>253019.96290037601</v>
      </c>
      <c r="BG17" s="2">
        <v>273193.74190416798</v>
      </c>
      <c r="BH17" s="2">
        <v>237894.64983067301</v>
      </c>
      <c r="BI17" s="2">
        <v>240954.83764747099</v>
      </c>
      <c r="BJ17" s="2">
        <v>268290.55992497498</v>
      </c>
      <c r="BK17" s="2">
        <v>219219.16611577899</v>
      </c>
      <c r="BL17" s="2">
        <v>281621.369533444</v>
      </c>
      <c r="BM17" s="2">
        <v>251257.088042647</v>
      </c>
      <c r="BN17" s="2">
        <v>271141.88006478403</v>
      </c>
      <c r="BO17" s="2">
        <v>236028.34301832601</v>
      </c>
      <c r="BP17" s="2">
        <v>289358.89412481501</v>
      </c>
      <c r="BQ17" s="2">
        <v>432902.90086722397</v>
      </c>
      <c r="BR17" s="2">
        <v>310177.71767348901</v>
      </c>
      <c r="BS17" s="2">
        <v>319378.42280971102</v>
      </c>
      <c r="BT17" s="2">
        <v>374939.49602579803</v>
      </c>
      <c r="BU17" s="2">
        <v>394854.284373264</v>
      </c>
      <c r="BV17" s="2">
        <v>338979.35443776101</v>
      </c>
      <c r="BW17" s="2">
        <v>232714.14875409199</v>
      </c>
      <c r="BX17" s="2">
        <v>246640.808622649</v>
      </c>
      <c r="BY17" s="2">
        <v>292880.65756196802</v>
      </c>
      <c r="BZ17" s="2">
        <v>324580.14885255601</v>
      </c>
      <c r="CA17">
        <f t="shared" si="8"/>
        <v>-0.3475154948353128</v>
      </c>
      <c r="CB17">
        <f t="shared" si="9"/>
        <v>-0.17723029482637531</v>
      </c>
      <c r="CC17">
        <f t="shared" si="10"/>
        <v>0.29037954556352219</v>
      </c>
      <c r="CD17">
        <f t="shared" si="11"/>
        <v>-6.5965343345297536E-2</v>
      </c>
      <c r="CE17" s="3">
        <f t="shared" si="12"/>
        <v>4.3520631274604177E-2</v>
      </c>
      <c r="CF17" s="3">
        <f t="shared" si="13"/>
        <v>9.264817647927831E-2</v>
      </c>
      <c r="CG17" s="3">
        <f t="shared" si="14"/>
        <v>0.49005017756332359</v>
      </c>
      <c r="CH17" s="3">
        <f t="shared" si="15"/>
        <v>0.26905254428781389</v>
      </c>
      <c r="CI17" s="2">
        <v>275862.80350109702</v>
      </c>
      <c r="CJ17" s="2">
        <v>187385.02954562099</v>
      </c>
      <c r="CK17" s="2">
        <v>268021.33208976098</v>
      </c>
      <c r="CL17" s="2">
        <v>284042.26103251299</v>
      </c>
      <c r="CM17" s="2">
        <v>365998.67594835698</v>
      </c>
      <c r="CN17" s="2">
        <v>380174.09655334702</v>
      </c>
      <c r="CO17" s="2">
        <v>372693.334472975</v>
      </c>
      <c r="CP17" s="2">
        <v>356946.56345696701</v>
      </c>
      <c r="CQ17" s="2">
        <v>372856.75963814399</v>
      </c>
      <c r="CR17" s="2">
        <v>373781.96908094001</v>
      </c>
      <c r="CS17" s="2">
        <v>371776.31785044901</v>
      </c>
      <c r="CT17" s="2">
        <v>369724.88546505303</v>
      </c>
      <c r="CU17" s="2">
        <v>204.528074918058</v>
      </c>
      <c r="CV17" s="2">
        <v>205.526096423826</v>
      </c>
      <c r="CW17" s="2">
        <v>208.17123181147701</v>
      </c>
      <c r="CX17" s="2">
        <v>217.98184671435399</v>
      </c>
      <c r="CY17" s="2">
        <v>219.66305606941</v>
      </c>
      <c r="CZ17" s="1">
        <v>240.22441616914301</v>
      </c>
    </row>
    <row r="18" spans="1:104" x14ac:dyDescent="0.2">
      <c r="A18">
        <v>7303</v>
      </c>
      <c r="B18" s="2">
        <v>124</v>
      </c>
      <c r="C18" s="2" t="s">
        <v>8</v>
      </c>
      <c r="D18" s="2" t="s">
        <v>236</v>
      </c>
      <c r="E18" s="2" t="s">
        <v>235</v>
      </c>
      <c r="F18" s="2" t="s">
        <v>234</v>
      </c>
      <c r="G18" s="2" t="s">
        <v>233</v>
      </c>
      <c r="H18" s="2">
        <v>2</v>
      </c>
      <c r="I18" s="2" t="s">
        <v>228</v>
      </c>
      <c r="J18" s="2">
        <v>827.56931999999995</v>
      </c>
      <c r="K18" s="2">
        <v>827.5693</v>
      </c>
      <c r="L18" s="2">
        <v>826.56094659999997</v>
      </c>
      <c r="M18" s="2">
        <v>4.4720000000000004</v>
      </c>
      <c r="N18" s="2">
        <v>4.47</v>
      </c>
      <c r="O18" s="2">
        <v>0.93377898475036558</v>
      </c>
      <c r="P18" s="5" t="s">
        <v>157</v>
      </c>
      <c r="Q18" s="2">
        <v>4.7869999999999999</v>
      </c>
      <c r="R18" s="2">
        <v>1</v>
      </c>
      <c r="S18" s="2" t="s">
        <v>2</v>
      </c>
      <c r="T18" s="2" t="s">
        <v>1</v>
      </c>
      <c r="U18">
        <f t="shared" si="0"/>
        <v>0.11250881031283894</v>
      </c>
      <c r="V18">
        <f t="shared" si="1"/>
        <v>7.3341344336012873E-2</v>
      </c>
      <c r="W18">
        <f t="shared" si="2"/>
        <v>6.523370260908623E-2</v>
      </c>
      <c r="X18">
        <f t="shared" si="3"/>
        <v>1.5942007226189436E-2</v>
      </c>
      <c r="Y18">
        <f t="shared" si="4"/>
        <v>1.4139579867775446E-2</v>
      </c>
      <c r="Z18">
        <f t="shared" si="5"/>
        <v>0.4223116149537044</v>
      </c>
      <c r="AA18">
        <f t="shared" si="6"/>
        <v>0.77995630021707374</v>
      </c>
      <c r="AB18">
        <f t="shared" si="7"/>
        <v>0.46602636651848672</v>
      </c>
      <c r="AC18" s="2">
        <v>8780320.76553775</v>
      </c>
      <c r="AD18" s="2">
        <v>9532529.4903424103</v>
      </c>
      <c r="AE18" s="2">
        <v>8715687.8751250692</v>
      </c>
      <c r="AF18" s="2">
        <v>7962817.1901014997</v>
      </c>
      <c r="AG18" s="2">
        <v>8420726.6190555301</v>
      </c>
      <c r="AH18" s="2">
        <v>9391967.9772747904</v>
      </c>
      <c r="AI18" s="2">
        <v>9394856.2649454009</v>
      </c>
      <c r="AJ18" s="2">
        <v>9594751.1642253101</v>
      </c>
      <c r="AK18" s="2">
        <v>9926470.4552529994</v>
      </c>
      <c r="AL18" s="2">
        <v>9422587.8593293503</v>
      </c>
      <c r="AM18" s="2">
        <v>9911616.5424525607</v>
      </c>
      <c r="AN18" s="2">
        <v>7584989.3955126796</v>
      </c>
      <c r="AO18" s="2">
        <v>9140742.3130457792</v>
      </c>
      <c r="AP18" s="2">
        <v>9621584.6439050492</v>
      </c>
      <c r="AQ18" s="2">
        <v>9170217.0166139193</v>
      </c>
      <c r="AR18" s="2">
        <v>9118826.8680059593</v>
      </c>
      <c r="AS18" s="2">
        <v>10137351.0189099</v>
      </c>
      <c r="AT18" s="2">
        <v>5675435.01542015</v>
      </c>
      <c r="AU18" s="2">
        <v>9564682.3234552499</v>
      </c>
      <c r="AV18" s="2">
        <v>7702066.6763552697</v>
      </c>
      <c r="AW18" s="2">
        <v>8729372.9364233799</v>
      </c>
      <c r="AX18" s="2">
        <v>10467190.6570247</v>
      </c>
      <c r="AY18" s="2">
        <v>8033285.1902155802</v>
      </c>
      <c r="AZ18" s="2">
        <v>8812531.6818772405</v>
      </c>
      <c r="BA18" s="2">
        <v>9193300.2850682009</v>
      </c>
      <c r="BB18" s="2">
        <v>10982598.1849424</v>
      </c>
      <c r="BC18" s="2">
        <v>10109081.470135</v>
      </c>
      <c r="BD18" s="2">
        <v>11754575.5656284</v>
      </c>
      <c r="BE18" s="2">
        <v>11582158.7467169</v>
      </c>
      <c r="BF18" s="2">
        <v>9109423.6832899805</v>
      </c>
      <c r="BG18" s="2">
        <v>8742588.50797005</v>
      </c>
      <c r="BH18" s="2">
        <v>9924301.6323247608</v>
      </c>
      <c r="BI18" s="2">
        <v>8323807.3247010401</v>
      </c>
      <c r="BJ18" s="2">
        <v>9698959.1032679603</v>
      </c>
      <c r="BK18" s="2">
        <v>7971638.8506360296</v>
      </c>
      <c r="BL18" s="2">
        <v>9441087.8430150207</v>
      </c>
      <c r="BM18" s="2">
        <v>9636181.3437276408</v>
      </c>
      <c r="BN18" s="2">
        <v>8543592.4147965591</v>
      </c>
      <c r="BO18" s="2">
        <v>8129762.5189699996</v>
      </c>
      <c r="BP18" s="2">
        <v>10942251.792434299</v>
      </c>
      <c r="BQ18" s="2">
        <v>11448800.6858963</v>
      </c>
      <c r="BR18" s="2">
        <v>9430453.7975227498</v>
      </c>
      <c r="BS18" s="2">
        <v>8567598.1604015008</v>
      </c>
      <c r="BT18" s="2">
        <v>9493668.9439285193</v>
      </c>
      <c r="BU18" s="2">
        <v>10399365.3320962</v>
      </c>
      <c r="BV18" s="2">
        <v>9268860.1799728107</v>
      </c>
      <c r="BW18" s="2">
        <v>9125802.0216548909</v>
      </c>
      <c r="BX18" s="2">
        <v>8765066.0125014801</v>
      </c>
      <c r="BY18" s="2">
        <v>7786028.2621535398</v>
      </c>
      <c r="BZ18" s="2">
        <v>10712533.308085401</v>
      </c>
      <c r="CA18">
        <f t="shared" si="8"/>
        <v>-0.32908699562482013</v>
      </c>
      <c r="CB18">
        <f t="shared" si="9"/>
        <v>-0.2181943894034912</v>
      </c>
      <c r="CC18">
        <f t="shared" si="10"/>
        <v>-0.2101817500671028</v>
      </c>
      <c r="CD18">
        <f t="shared" si="11"/>
        <v>-0.26719613634537881</v>
      </c>
      <c r="CE18" s="3">
        <f t="shared" si="12"/>
        <v>2.1415512683627059E-2</v>
      </c>
      <c r="CF18" s="3">
        <f t="shared" si="13"/>
        <v>8.3742665950920697E-2</v>
      </c>
      <c r="CG18" s="3">
        <f t="shared" si="14"/>
        <v>0.26135448212897683</v>
      </c>
      <c r="CH18" s="3">
        <f t="shared" si="15"/>
        <v>4.9726612369040121E-2</v>
      </c>
      <c r="CI18" s="2">
        <v>7223705.7833975703</v>
      </c>
      <c r="CJ18" s="2">
        <v>7149458.14296907</v>
      </c>
      <c r="CK18" s="2">
        <v>7512401.8619509302</v>
      </c>
      <c r="CL18" s="2">
        <v>7488155.1116559999</v>
      </c>
      <c r="CM18" s="2">
        <v>9182681.2406115495</v>
      </c>
      <c r="CN18" s="2">
        <v>9577165.6069139391</v>
      </c>
      <c r="CO18" s="2">
        <v>8953818.6574632302</v>
      </c>
      <c r="CP18" s="2">
        <v>9375819.1808653902</v>
      </c>
      <c r="CQ18" s="2">
        <v>8760048.9291405901</v>
      </c>
      <c r="CR18" s="2">
        <v>9955618.9494530503</v>
      </c>
      <c r="CS18" s="2">
        <v>9180926.4211461805</v>
      </c>
      <c r="CT18" s="2">
        <v>9133166.6446328703</v>
      </c>
      <c r="CU18" s="2">
        <v>229.72583229688399</v>
      </c>
      <c r="CV18" s="2">
        <v>336.49925490402302</v>
      </c>
      <c r="CW18" s="2">
        <v>1056.3955091481801</v>
      </c>
      <c r="CX18" s="2">
        <v>251.733988969216</v>
      </c>
      <c r="CY18" s="2">
        <v>929.645661049811</v>
      </c>
      <c r="CZ18" s="1">
        <v>2067.4858969239899</v>
      </c>
    </row>
    <row r="19" spans="1:104" x14ac:dyDescent="0.2">
      <c r="A19">
        <v>7302</v>
      </c>
      <c r="B19" s="2">
        <v>122</v>
      </c>
      <c r="C19" s="2" t="s">
        <v>8</v>
      </c>
      <c r="D19" s="2" t="s">
        <v>232</v>
      </c>
      <c r="E19" s="2" t="s">
        <v>231</v>
      </c>
      <c r="F19" s="2" t="s">
        <v>230</v>
      </c>
      <c r="G19" s="2" t="s">
        <v>229</v>
      </c>
      <c r="H19" s="2">
        <v>2</v>
      </c>
      <c r="I19" s="2" t="s">
        <v>228</v>
      </c>
      <c r="J19" s="2">
        <v>827.56930999999997</v>
      </c>
      <c r="K19" s="2">
        <v>827.5693</v>
      </c>
      <c r="L19" s="2">
        <v>826.56093659999999</v>
      </c>
      <c r="M19" s="2">
        <v>4.0819999999999999</v>
      </c>
      <c r="N19" s="2">
        <v>4.08</v>
      </c>
      <c r="O19" s="2">
        <v>0.85230833507415926</v>
      </c>
      <c r="P19" s="5" t="s">
        <v>157</v>
      </c>
      <c r="Q19" s="2">
        <v>4.7869999999999999</v>
      </c>
      <c r="R19" s="2">
        <v>1</v>
      </c>
      <c r="S19" s="2" t="s">
        <v>2</v>
      </c>
      <c r="T19" s="2" t="s">
        <v>1</v>
      </c>
      <c r="U19">
        <f t="shared" si="0"/>
        <v>0.3578766086377963</v>
      </c>
      <c r="V19">
        <f t="shared" si="1"/>
        <v>6.7968391809895626E-2</v>
      </c>
      <c r="W19">
        <f t="shared" si="2"/>
        <v>0.62099085378351915</v>
      </c>
      <c r="X19">
        <f t="shared" si="3"/>
        <v>0.57294799542176944</v>
      </c>
      <c r="Y19">
        <f t="shared" si="4"/>
        <v>0.13918569576395209</v>
      </c>
      <c r="Z19">
        <f t="shared" si="5"/>
        <v>0.55928168746726548</v>
      </c>
      <c r="AA19">
        <f t="shared" si="6"/>
        <v>2.0741206392020123E-2</v>
      </c>
      <c r="AB19">
        <f t="shared" si="7"/>
        <v>9.3116410170332748E-3</v>
      </c>
      <c r="AC19" s="2">
        <v>363621.01880801702</v>
      </c>
      <c r="AD19" s="2">
        <v>474206.919008222</v>
      </c>
      <c r="AE19" s="2">
        <v>418636.93730531802</v>
      </c>
      <c r="AF19" s="2">
        <v>363754.06304213998</v>
      </c>
      <c r="AG19" s="2">
        <v>310280.27044827101</v>
      </c>
      <c r="AH19" s="2">
        <v>500416.72800684901</v>
      </c>
      <c r="AI19" s="2">
        <v>421740.35916489299</v>
      </c>
      <c r="AJ19" s="2">
        <v>498940.50335451798</v>
      </c>
      <c r="AK19" s="2">
        <v>466164.76778273901</v>
      </c>
      <c r="AL19" s="2">
        <v>359736.09566836798</v>
      </c>
      <c r="AM19" s="2">
        <v>605583.49881963304</v>
      </c>
      <c r="AN19" s="2">
        <v>330860.94430055202</v>
      </c>
      <c r="AO19" s="2">
        <v>358978.667331509</v>
      </c>
      <c r="AP19" s="2">
        <v>381301.38053168298</v>
      </c>
      <c r="AQ19" s="2">
        <v>425016.39604681102</v>
      </c>
      <c r="AR19" s="2">
        <v>564997.81579056196</v>
      </c>
      <c r="AS19" s="2">
        <v>559428.67948617705</v>
      </c>
      <c r="AT19" s="2">
        <v>432329.26336941897</v>
      </c>
      <c r="AU19" s="2">
        <v>640663.33959644404</v>
      </c>
      <c r="AV19" s="2">
        <v>437059.64664500102</v>
      </c>
      <c r="AW19" s="2">
        <v>707996.97005027195</v>
      </c>
      <c r="AX19" s="2">
        <v>462365.44253935502</v>
      </c>
      <c r="AY19" s="2">
        <v>575313.05587888905</v>
      </c>
      <c r="AZ19" s="2">
        <v>502293.47638140601</v>
      </c>
      <c r="BA19" s="2">
        <v>541106.04481553705</v>
      </c>
      <c r="BB19" s="2">
        <v>466299.14665104402</v>
      </c>
      <c r="BC19" s="2">
        <v>564163.47183776204</v>
      </c>
      <c r="BD19" s="2">
        <v>421347.57899362198</v>
      </c>
      <c r="BE19" s="2">
        <v>463585.34190715197</v>
      </c>
      <c r="BF19" s="2">
        <v>331403.85508414201</v>
      </c>
      <c r="BG19" s="2">
        <v>390870.41090816801</v>
      </c>
      <c r="BH19" s="2">
        <v>417785.79519202502</v>
      </c>
      <c r="BI19" s="2">
        <v>282410.05746962503</v>
      </c>
      <c r="BJ19" s="2">
        <v>377776.02259810601</v>
      </c>
      <c r="BK19" s="2">
        <v>308895.695665423</v>
      </c>
      <c r="BL19" s="2">
        <v>349457.19107596402</v>
      </c>
      <c r="BM19" s="2">
        <v>367621.34165736102</v>
      </c>
      <c r="BN19" s="2">
        <v>289603.99868860899</v>
      </c>
      <c r="BO19" s="2">
        <v>472160.513076409</v>
      </c>
      <c r="BP19" s="2">
        <v>370210.64534318203</v>
      </c>
      <c r="BQ19" s="2">
        <v>459455.80603224802</v>
      </c>
      <c r="BR19" s="2">
        <v>557449.36459550005</v>
      </c>
      <c r="BS19" s="2">
        <v>579613.34701682499</v>
      </c>
      <c r="BT19" s="2">
        <v>378524.59137666901</v>
      </c>
      <c r="BU19" s="2">
        <v>582298.30085328105</v>
      </c>
      <c r="BV19" s="2">
        <v>448201.08317159599</v>
      </c>
      <c r="BW19" s="2">
        <v>470193.98016703798</v>
      </c>
      <c r="BX19" s="2">
        <v>448494.315715037</v>
      </c>
      <c r="BY19" s="2">
        <v>389780.62402313302</v>
      </c>
      <c r="BZ19" s="2">
        <v>518611.94805958902</v>
      </c>
      <c r="CA19">
        <f t="shared" si="8"/>
        <v>-0.29530381358943342</v>
      </c>
      <c r="CB19">
        <f t="shared" si="9"/>
        <v>-0.33461442816309755</v>
      </c>
      <c r="CC19">
        <f t="shared" si="10"/>
        <v>0.26600581456772582</v>
      </c>
      <c r="CD19">
        <f t="shared" si="11"/>
        <v>-4.7745250203928953E-2</v>
      </c>
      <c r="CE19" s="3">
        <f t="shared" si="12"/>
        <v>7.3446727476801338E-2</v>
      </c>
      <c r="CF19" s="3">
        <f t="shared" si="13"/>
        <v>0.1346332559088399</v>
      </c>
      <c r="CG19" s="3">
        <f t="shared" si="14"/>
        <v>0.29159635717258114</v>
      </c>
      <c r="CH19" s="3">
        <f t="shared" si="15"/>
        <v>0.89788796471657373</v>
      </c>
      <c r="CI19" s="2">
        <v>369721.14416273101</v>
      </c>
      <c r="CJ19" s="2">
        <v>363961.54171212</v>
      </c>
      <c r="CK19" s="2">
        <v>519848.31419420702</v>
      </c>
      <c r="CL19" s="2">
        <v>481974.13435810897</v>
      </c>
      <c r="CM19" s="2">
        <v>462310.48522900097</v>
      </c>
      <c r="CN19" s="2">
        <v>456658.46374410699</v>
      </c>
      <c r="CO19" s="2">
        <v>452900.10317820602</v>
      </c>
      <c r="CP19" s="2">
        <v>474570.08717277599</v>
      </c>
      <c r="CQ19" s="2">
        <v>445034.834053436</v>
      </c>
      <c r="CR19" s="2">
        <v>491063.945357894</v>
      </c>
      <c r="CS19" s="2">
        <v>436418.63946337998</v>
      </c>
      <c r="CT19" s="2">
        <v>464550.91838197102</v>
      </c>
      <c r="CU19" s="2">
        <v>201.567700081787</v>
      </c>
      <c r="CV19" s="2">
        <v>188.63555811281799</v>
      </c>
      <c r="CW19" s="2">
        <v>204.16942044773899</v>
      </c>
      <c r="CX19" s="2">
        <v>188.188530835265</v>
      </c>
      <c r="CY19" s="2">
        <v>195.37932863467299</v>
      </c>
      <c r="CZ19" s="1">
        <v>201.27764789565799</v>
      </c>
    </row>
    <row r="20" spans="1:104" x14ac:dyDescent="0.2">
      <c r="A20">
        <v>7301</v>
      </c>
      <c r="B20" s="2">
        <v>121</v>
      </c>
      <c r="C20" s="2" t="s">
        <v>8</v>
      </c>
      <c r="D20" s="2" t="s">
        <v>227</v>
      </c>
      <c r="E20" s="2" t="s">
        <v>226</v>
      </c>
      <c r="F20" s="2" t="s">
        <v>225</v>
      </c>
      <c r="G20" s="2" t="s">
        <v>224</v>
      </c>
      <c r="H20" s="2">
        <v>2</v>
      </c>
      <c r="I20" s="2" t="s">
        <v>219</v>
      </c>
      <c r="J20" s="2">
        <v>825.55282999999997</v>
      </c>
      <c r="K20" s="2">
        <v>825.55280000000005</v>
      </c>
      <c r="L20" s="2">
        <v>824.54445659999999</v>
      </c>
      <c r="M20" s="2">
        <v>4.0209999999999999</v>
      </c>
      <c r="N20" s="2">
        <v>4.0199999999999996</v>
      </c>
      <c r="O20" s="2">
        <v>0.83977438897012735</v>
      </c>
      <c r="P20" s="5" t="s">
        <v>157</v>
      </c>
      <c r="Q20" s="2">
        <v>4.7869999999999999</v>
      </c>
      <c r="R20" s="2">
        <v>1</v>
      </c>
      <c r="S20" s="2" t="s">
        <v>2</v>
      </c>
      <c r="T20" s="2" t="s">
        <v>1</v>
      </c>
      <c r="U20">
        <f t="shared" si="0"/>
        <v>-5.1206930549819757E-2</v>
      </c>
      <c r="V20">
        <f t="shared" si="1"/>
        <v>-0.23018053272536443</v>
      </c>
      <c r="W20">
        <f t="shared" si="2"/>
        <v>0.40135632000045457</v>
      </c>
      <c r="X20">
        <f t="shared" si="3"/>
        <v>0.16461293722326512</v>
      </c>
      <c r="Y20">
        <f t="shared" si="4"/>
        <v>0.21431662211488758</v>
      </c>
      <c r="Z20">
        <f t="shared" si="5"/>
        <v>4.448779579174679E-2</v>
      </c>
      <c r="AA20">
        <f t="shared" si="6"/>
        <v>0.66541020810857687</v>
      </c>
      <c r="AB20">
        <f t="shared" si="7"/>
        <v>0.48427278760150827</v>
      </c>
      <c r="AC20" s="2">
        <v>204057.92559756499</v>
      </c>
      <c r="AD20" s="2">
        <v>288676.87680505501</v>
      </c>
      <c r="AE20" s="2">
        <v>284354.21918858</v>
      </c>
      <c r="AF20" s="2">
        <v>220621.02132942501</v>
      </c>
      <c r="AG20" s="2">
        <v>213528.40629618999</v>
      </c>
      <c r="AH20" s="2">
        <v>221171.00721508599</v>
      </c>
      <c r="AI20" s="2">
        <v>206276.35287646999</v>
      </c>
      <c r="AJ20" s="2">
        <v>242559.32503750999</v>
      </c>
      <c r="AK20" s="2">
        <v>212927.65377059599</v>
      </c>
      <c r="AL20" s="2">
        <v>193110.35735201801</v>
      </c>
      <c r="AM20" s="2">
        <v>237970.12259661799</v>
      </c>
      <c r="AN20" s="2">
        <v>142210.75816843999</v>
      </c>
      <c r="AO20" s="2">
        <v>145080.66908777901</v>
      </c>
      <c r="AP20" s="2">
        <v>188085.64293236201</v>
      </c>
      <c r="AQ20" s="2">
        <v>194858.33735318299</v>
      </c>
      <c r="AR20" s="2">
        <v>291384.99379277899</v>
      </c>
      <c r="AS20" s="2">
        <v>319366.89658988098</v>
      </c>
      <c r="AT20" s="2">
        <v>142079.58357137599</v>
      </c>
      <c r="AU20" s="2">
        <v>327448.73176231602</v>
      </c>
      <c r="AV20" s="2">
        <v>219705.589379112</v>
      </c>
      <c r="AW20" s="2">
        <v>306780.37317906501</v>
      </c>
      <c r="AX20" s="2">
        <v>238517.372562654</v>
      </c>
      <c r="AY20" s="2">
        <v>278624.61053450999</v>
      </c>
      <c r="AZ20" s="2">
        <v>225995.32338711899</v>
      </c>
      <c r="BA20" s="2">
        <v>247286.45146771401</v>
      </c>
      <c r="BB20" s="2">
        <v>240777.498072783</v>
      </c>
      <c r="BC20" s="2">
        <v>189590.33468575901</v>
      </c>
      <c r="BD20" s="2">
        <v>266535.50212242501</v>
      </c>
      <c r="BE20" s="2">
        <v>268943.05623546097</v>
      </c>
      <c r="BF20" s="2">
        <v>190426.740749902</v>
      </c>
      <c r="BG20" s="2">
        <v>181038.200772212</v>
      </c>
      <c r="BH20" s="2">
        <v>172706.76945697301</v>
      </c>
      <c r="BI20" s="2">
        <v>146664.95056880399</v>
      </c>
      <c r="BJ20" s="2">
        <v>197202.11812912501</v>
      </c>
      <c r="BK20" s="2">
        <v>140594.53019460299</v>
      </c>
      <c r="BL20" s="2">
        <v>169262.70425931399</v>
      </c>
      <c r="BM20" s="2">
        <v>168890.098048424</v>
      </c>
      <c r="BN20" s="2">
        <v>151690.63093816099</v>
      </c>
      <c r="BO20" s="2">
        <v>147463.60448777501</v>
      </c>
      <c r="BP20" s="2">
        <v>213331.083555299</v>
      </c>
      <c r="BQ20" s="2">
        <v>348185.60988944501</v>
      </c>
      <c r="BR20" s="2">
        <v>349285.41801406199</v>
      </c>
      <c r="BS20" s="2">
        <v>244835.238251448</v>
      </c>
      <c r="BT20" s="2">
        <v>261052.38286436701</v>
      </c>
      <c r="BU20" s="2">
        <v>325519.37439265102</v>
      </c>
      <c r="BV20" s="2">
        <v>207101.63025089999</v>
      </c>
      <c r="BW20" s="2">
        <v>181554.74801063299</v>
      </c>
      <c r="BX20" s="2">
        <v>163923.75240466901</v>
      </c>
      <c r="BY20" s="2">
        <v>140015.10005516201</v>
      </c>
      <c r="BZ20" s="2">
        <v>236227.66970079899</v>
      </c>
      <c r="CA20">
        <f t="shared" si="8"/>
        <v>-0.47937593873165246</v>
      </c>
      <c r="CB20">
        <f t="shared" si="9"/>
        <v>-0.51161582488796853</v>
      </c>
      <c r="CC20">
        <f t="shared" si="10"/>
        <v>0.43504284191219583</v>
      </c>
      <c r="CD20">
        <f t="shared" si="11"/>
        <v>-0.40729591101649859</v>
      </c>
      <c r="CE20" s="3">
        <f t="shared" si="12"/>
        <v>1.4614437023579766E-2</v>
      </c>
      <c r="CF20" s="3">
        <f t="shared" si="13"/>
        <v>1.9867801054659288E-2</v>
      </c>
      <c r="CG20" s="3">
        <f t="shared" si="14"/>
        <v>2.9782493427515867E-2</v>
      </c>
      <c r="CH20" s="3">
        <f t="shared" si="15"/>
        <v>9.7365966064272155E-2</v>
      </c>
      <c r="CI20" s="2">
        <v>137164.85806846901</v>
      </c>
      <c r="CJ20" s="2">
        <v>134518.83728387501</v>
      </c>
      <c r="CK20" s="2">
        <v>139841.47670015201</v>
      </c>
      <c r="CL20" s="2">
        <v>146038.87921134901</v>
      </c>
      <c r="CM20" s="2">
        <v>222606.187610917</v>
      </c>
      <c r="CN20" s="2">
        <v>220591.965507257</v>
      </c>
      <c r="CO20" s="2">
        <v>232917.50776838799</v>
      </c>
      <c r="CP20" s="2">
        <v>219230.13324041601</v>
      </c>
      <c r="CQ20" s="2">
        <v>226380.73553093299</v>
      </c>
      <c r="CR20" s="2">
        <v>219838.602842202</v>
      </c>
      <c r="CS20" s="2">
        <v>216670.42956559299</v>
      </c>
      <c r="CT20" s="2">
        <v>230135.75759847401</v>
      </c>
      <c r="CU20" s="2">
        <v>197.462142458616</v>
      </c>
      <c r="CV20" s="2">
        <v>182.50394615437199</v>
      </c>
      <c r="CW20" s="2">
        <v>192.85704537961701</v>
      </c>
      <c r="CX20" s="2">
        <v>206.845706344913</v>
      </c>
      <c r="CY20" s="2">
        <v>214.997370921938</v>
      </c>
      <c r="CZ20" s="1">
        <v>209.69090475965501</v>
      </c>
    </row>
    <row r="21" spans="1:104" x14ac:dyDescent="0.2">
      <c r="A21">
        <v>7300</v>
      </c>
      <c r="B21" s="2">
        <v>120</v>
      </c>
      <c r="C21" s="2" t="s">
        <v>8</v>
      </c>
      <c r="D21" s="2" t="s">
        <v>223</v>
      </c>
      <c r="E21" s="2" t="s">
        <v>222</v>
      </c>
      <c r="F21" s="2" t="s">
        <v>221</v>
      </c>
      <c r="G21" s="2" t="s">
        <v>220</v>
      </c>
      <c r="H21" s="2">
        <v>2</v>
      </c>
      <c r="I21" s="2" t="s">
        <v>219</v>
      </c>
      <c r="J21" s="2">
        <v>825.55282999999997</v>
      </c>
      <c r="K21" s="2">
        <v>825.55280000000005</v>
      </c>
      <c r="L21" s="2">
        <v>824.54445659999999</v>
      </c>
      <c r="M21" s="2">
        <v>3.8479999999999999</v>
      </c>
      <c r="N21" s="2">
        <v>3.85</v>
      </c>
      <c r="O21" s="2">
        <v>0.80426154167537078</v>
      </c>
      <c r="P21" s="5" t="s">
        <v>157</v>
      </c>
      <c r="Q21" s="2">
        <v>4.7869999999999999</v>
      </c>
      <c r="R21" s="2">
        <v>1</v>
      </c>
      <c r="S21" s="2" t="s">
        <v>2</v>
      </c>
      <c r="T21" s="2" t="s">
        <v>1</v>
      </c>
      <c r="U21">
        <f t="shared" si="0"/>
        <v>0.28259186754691351</v>
      </c>
      <c r="V21">
        <f t="shared" si="1"/>
        <v>0.1557393928940887</v>
      </c>
      <c r="W21">
        <f t="shared" si="2"/>
        <v>0.25777874181736005</v>
      </c>
      <c r="X21">
        <f t="shared" si="3"/>
        <v>0.14077669372110826</v>
      </c>
      <c r="Y21">
        <f t="shared" si="4"/>
        <v>0.43863499990517618</v>
      </c>
      <c r="Z21">
        <f t="shared" si="5"/>
        <v>0.96272694280810089</v>
      </c>
      <c r="AA21">
        <f t="shared" si="6"/>
        <v>0.83046789165191626</v>
      </c>
      <c r="AB21">
        <f t="shared" si="7"/>
        <v>0.5749372881611764</v>
      </c>
      <c r="AC21" s="2">
        <v>54942.817078268301</v>
      </c>
      <c r="AD21" s="2">
        <v>59606.356608734299</v>
      </c>
      <c r="AE21" s="2">
        <v>81279.441971473207</v>
      </c>
      <c r="AF21" s="2">
        <v>49686.362511533698</v>
      </c>
      <c r="AG21" s="2">
        <v>52200.636432826803</v>
      </c>
      <c r="AH21" s="2">
        <v>66831.245028483507</v>
      </c>
      <c r="AI21" s="2">
        <v>61214.429577325303</v>
      </c>
      <c r="AJ21" s="2">
        <v>68148.525116058299</v>
      </c>
      <c r="AK21" s="2">
        <v>57688.097000583301</v>
      </c>
      <c r="AL21" s="2">
        <v>68576.005186078604</v>
      </c>
      <c r="AM21" s="2">
        <v>72769.348610973393</v>
      </c>
      <c r="AN21" s="2">
        <v>46566.759236553597</v>
      </c>
      <c r="AO21" s="2">
        <v>61336.135917677297</v>
      </c>
      <c r="AP21" s="2">
        <v>61205.880774049598</v>
      </c>
      <c r="AQ21" s="2">
        <v>57539.955380410698</v>
      </c>
      <c r="AR21" s="2">
        <v>100375.93045633</v>
      </c>
      <c r="AS21" s="2">
        <v>73067.957754026997</v>
      </c>
      <c r="AT21" s="2">
        <v>28447.655833503199</v>
      </c>
      <c r="AU21" s="2">
        <v>65691.632816780795</v>
      </c>
      <c r="AV21" s="2">
        <v>45102.003758555198</v>
      </c>
      <c r="AW21" s="2">
        <v>76692.553648790505</v>
      </c>
      <c r="AX21" s="2">
        <v>87796.254692053801</v>
      </c>
      <c r="AY21" s="2">
        <v>60574.373447736703</v>
      </c>
      <c r="AZ21" s="2">
        <v>49664.206403802396</v>
      </c>
      <c r="BA21" s="2">
        <v>50463.495963886402</v>
      </c>
      <c r="BB21" s="2">
        <v>81661.447105708197</v>
      </c>
      <c r="BC21" s="2">
        <v>76551.377457401206</v>
      </c>
      <c r="BD21" s="2">
        <v>91576.665068213799</v>
      </c>
      <c r="BE21" s="2">
        <v>80332.376616913098</v>
      </c>
      <c r="BF21" s="2">
        <v>47754.270568184103</v>
      </c>
      <c r="BG21" s="2">
        <v>64316.8924329316</v>
      </c>
      <c r="BH21" s="2">
        <v>61481.649159949899</v>
      </c>
      <c r="BI21" s="2">
        <v>57216.065850814899</v>
      </c>
      <c r="BJ21" s="2">
        <v>85080.114442065402</v>
      </c>
      <c r="BK21" s="2">
        <v>54969.445107495099</v>
      </c>
      <c r="BL21" s="2">
        <v>63454.468746999803</v>
      </c>
      <c r="BM21" s="2">
        <v>54611.139825635997</v>
      </c>
      <c r="BN21" s="2">
        <v>55090.779804301601</v>
      </c>
      <c r="BO21" s="2">
        <v>47909.241323690701</v>
      </c>
      <c r="BP21" s="2">
        <v>86561.192706721602</v>
      </c>
      <c r="BQ21" s="2">
        <v>99396.917689076901</v>
      </c>
      <c r="BR21" s="2">
        <v>57875.201718753902</v>
      </c>
      <c r="BS21" s="2">
        <v>54653.568017073201</v>
      </c>
      <c r="BT21" s="2">
        <v>55488.792379470098</v>
      </c>
      <c r="BU21" s="2">
        <v>81519.892254054299</v>
      </c>
      <c r="BV21" s="2">
        <v>53340.856140550699</v>
      </c>
      <c r="BW21" s="2">
        <v>59826.020893715402</v>
      </c>
      <c r="BX21" s="2">
        <v>62287.670259918399</v>
      </c>
      <c r="BY21" s="2">
        <v>42070.768519943202</v>
      </c>
      <c r="BZ21" s="2">
        <v>77021.394130458997</v>
      </c>
      <c r="CA21">
        <f t="shared" si="8"/>
        <v>-0.38582569514258813</v>
      </c>
      <c r="CB21">
        <f t="shared" si="9"/>
        <v>-0.54417067473650438</v>
      </c>
      <c r="CC21">
        <f t="shared" si="10"/>
        <v>-0.47303624221938606</v>
      </c>
      <c r="CD21">
        <f t="shared" si="11"/>
        <v>-0.4252084483189606</v>
      </c>
      <c r="CE21" s="3">
        <f t="shared" si="12"/>
        <v>0.26421632677103574</v>
      </c>
      <c r="CF21" s="3">
        <f t="shared" si="13"/>
        <v>0.19722222381169832</v>
      </c>
      <c r="CG21" s="3">
        <f t="shared" si="14"/>
        <v>0.63053815394620849</v>
      </c>
      <c r="CH21" s="3">
        <f t="shared" si="15"/>
        <v>0.11227312426645608</v>
      </c>
      <c r="CI21" s="2">
        <v>41756.884374819099</v>
      </c>
      <c r="CJ21" s="2">
        <v>44988.468359434803</v>
      </c>
      <c r="CK21" s="2">
        <v>43388.538164869402</v>
      </c>
      <c r="CL21" s="2">
        <v>58739.240322869999</v>
      </c>
      <c r="CM21" s="2">
        <v>61795.1985637373</v>
      </c>
      <c r="CN21" s="2">
        <v>62539.963127685398</v>
      </c>
      <c r="CO21" s="2">
        <v>61256.138626288302</v>
      </c>
      <c r="CP21" s="2">
        <v>71913.197522837305</v>
      </c>
      <c r="CQ21" s="2">
        <v>58146.415571950798</v>
      </c>
      <c r="CR21" s="2">
        <v>60234.281875578701</v>
      </c>
      <c r="CS21" s="2">
        <v>67725.863760021195</v>
      </c>
      <c r="CT21" s="2">
        <v>60451.938714563097</v>
      </c>
      <c r="CU21" s="2">
        <v>188.79562682360501</v>
      </c>
      <c r="CV21" s="2">
        <v>178.296265143223</v>
      </c>
      <c r="CW21" s="2">
        <v>183.09271260856201</v>
      </c>
      <c r="CX21" s="2">
        <v>212.42257814938699</v>
      </c>
      <c r="CY21" s="2">
        <v>230.01799186920701</v>
      </c>
      <c r="CZ21" s="1">
        <v>216.79665391114901</v>
      </c>
    </row>
    <row r="22" spans="1:104" x14ac:dyDescent="0.2">
      <c r="A22">
        <v>7299</v>
      </c>
      <c r="B22" s="2">
        <v>119</v>
      </c>
      <c r="C22" s="2" t="s">
        <v>8</v>
      </c>
      <c r="D22" s="2" t="s">
        <v>218</v>
      </c>
      <c r="E22" s="2" t="s">
        <v>217</v>
      </c>
      <c r="F22" s="2" t="s">
        <v>216</v>
      </c>
      <c r="G22" s="2" t="s">
        <v>215</v>
      </c>
      <c r="H22" s="2">
        <v>2</v>
      </c>
      <c r="I22" s="2" t="s">
        <v>214</v>
      </c>
      <c r="J22" s="2">
        <v>841.58318999999995</v>
      </c>
      <c r="K22" s="2">
        <v>841.58320000000003</v>
      </c>
      <c r="L22" s="2">
        <v>840.57481659999996</v>
      </c>
      <c r="M22" s="2">
        <v>4.8929999999999998</v>
      </c>
      <c r="N22" s="2">
        <v>4.8899999999999997</v>
      </c>
      <c r="O22" s="2">
        <v>1.0215166074785877</v>
      </c>
      <c r="P22" s="5" t="s">
        <v>157</v>
      </c>
      <c r="Q22" s="2">
        <v>4.7869999999999999</v>
      </c>
      <c r="R22" s="2">
        <v>1</v>
      </c>
      <c r="S22" s="2" t="s">
        <v>2</v>
      </c>
      <c r="T22" s="2" t="s">
        <v>1</v>
      </c>
      <c r="U22">
        <f t="shared" si="0"/>
        <v>0.26738383720708642</v>
      </c>
      <c r="V22">
        <f t="shared" si="1"/>
        <v>0.33899868838014613</v>
      </c>
      <c r="W22">
        <f t="shared" si="2"/>
        <v>0.42893442706624429</v>
      </c>
      <c r="X22">
        <f t="shared" si="3"/>
        <v>0.2376724656251285</v>
      </c>
      <c r="Y22">
        <f t="shared" si="4"/>
        <v>1.8297185538752689E-2</v>
      </c>
      <c r="Z22">
        <f t="shared" si="5"/>
        <v>2.9383195080260365E-2</v>
      </c>
      <c r="AA22">
        <f t="shared" si="6"/>
        <v>0.18258229494949926</v>
      </c>
      <c r="AB22">
        <f t="shared" si="7"/>
        <v>2.0529906265164921E-3</v>
      </c>
      <c r="AC22" s="2">
        <v>113762.008587125</v>
      </c>
      <c r="AD22" s="2">
        <v>110237.412131631</v>
      </c>
      <c r="AE22" s="2">
        <v>103944.54348327999</v>
      </c>
      <c r="AF22" s="2">
        <v>97001.792886442505</v>
      </c>
      <c r="AG22" s="2">
        <v>99389.592956079301</v>
      </c>
      <c r="AH22" s="2">
        <v>125051.709232031</v>
      </c>
      <c r="AI22" s="2">
        <v>108903.98500239001</v>
      </c>
      <c r="AJ22" s="2">
        <v>146878.411679893</v>
      </c>
      <c r="AK22" s="2">
        <v>160342.80616929301</v>
      </c>
      <c r="AL22" s="2">
        <v>125110.065525257</v>
      </c>
      <c r="AM22" s="2">
        <v>140685.887214402</v>
      </c>
      <c r="AN22" s="2">
        <v>98427.734526451604</v>
      </c>
      <c r="AO22" s="2">
        <v>124972.002613256</v>
      </c>
      <c r="AP22" s="2">
        <v>144392.023255201</v>
      </c>
      <c r="AQ22" s="2">
        <v>131477.20705934099</v>
      </c>
      <c r="AR22" s="2">
        <v>144175.05010920201</v>
      </c>
      <c r="AS22" s="2">
        <v>148279.19698049</v>
      </c>
      <c r="AT22" s="2">
        <v>87251.259921257995</v>
      </c>
      <c r="AU22" s="2">
        <v>139934.18570212901</v>
      </c>
      <c r="AV22" s="2">
        <v>99713.576562119895</v>
      </c>
      <c r="AW22" s="2">
        <v>119303.096719259</v>
      </c>
      <c r="AX22" s="2">
        <v>128775.920285157</v>
      </c>
      <c r="AY22" s="2">
        <v>120580.685150031</v>
      </c>
      <c r="AZ22" s="2">
        <v>122559.854721807</v>
      </c>
      <c r="BA22" s="2">
        <v>137998.11055100401</v>
      </c>
      <c r="BB22" s="2">
        <v>166129.96511601901</v>
      </c>
      <c r="BC22" s="2">
        <v>145524.03463462001</v>
      </c>
      <c r="BD22" s="2">
        <v>185383.924420775</v>
      </c>
      <c r="BE22" s="2">
        <v>166433.400414901</v>
      </c>
      <c r="BF22" s="2">
        <v>120278.47080913901</v>
      </c>
      <c r="BG22" s="2">
        <v>117505.20473167799</v>
      </c>
      <c r="BH22" s="2">
        <v>150771.51881437399</v>
      </c>
      <c r="BI22" s="2">
        <v>106778.29199431599</v>
      </c>
      <c r="BJ22" s="2">
        <v>136818.95655535301</v>
      </c>
      <c r="BK22" s="2">
        <v>100573.62683866</v>
      </c>
      <c r="BL22" s="2">
        <v>139582.44642078201</v>
      </c>
      <c r="BM22" s="2">
        <v>142410.89043681699</v>
      </c>
      <c r="BN22" s="2">
        <v>103599.087432108</v>
      </c>
      <c r="BO22" s="2">
        <v>122653.41315742899</v>
      </c>
      <c r="BP22" s="2">
        <v>158492.51262363599</v>
      </c>
      <c r="BQ22" s="2">
        <v>169732.91203555599</v>
      </c>
      <c r="BR22" s="2">
        <v>154072.85602894</v>
      </c>
      <c r="BS22" s="2">
        <v>134904.03224868901</v>
      </c>
      <c r="BT22" s="2">
        <v>116622.47986721199</v>
      </c>
      <c r="BU22" s="2">
        <v>162721.324392682</v>
      </c>
      <c r="BV22" s="2">
        <v>158021.663410504</v>
      </c>
      <c r="BW22" s="2">
        <v>156384.49210051299</v>
      </c>
      <c r="BX22" s="2">
        <v>139642.951161384</v>
      </c>
      <c r="BY22" s="2">
        <v>117251.252238627</v>
      </c>
      <c r="BZ22" s="2">
        <v>214905.92300892001</v>
      </c>
      <c r="CA22">
        <f t="shared" si="8"/>
        <v>-0.499587657482297</v>
      </c>
      <c r="CB22">
        <f t="shared" si="9"/>
        <v>-0.25119479506080694</v>
      </c>
      <c r="CC22">
        <f t="shared" si="10"/>
        <v>-0.10869960218138122</v>
      </c>
      <c r="CD22">
        <f t="shared" si="11"/>
        <v>-8.7214863287880542E-2</v>
      </c>
      <c r="CE22" s="3">
        <f t="shared" si="12"/>
        <v>4.5960245203723236E-2</v>
      </c>
      <c r="CF22" s="3">
        <f t="shared" si="13"/>
        <v>0.14543041662619302</v>
      </c>
      <c r="CG22" s="3">
        <f t="shared" si="14"/>
        <v>0.55220406250954712</v>
      </c>
      <c r="CH22" s="3">
        <f t="shared" si="15"/>
        <v>0.98062887463898951</v>
      </c>
      <c r="CI22" s="2">
        <v>113352.84469722801</v>
      </c>
      <c r="CJ22" s="2">
        <v>113538.59103108299</v>
      </c>
      <c r="CK22" s="2">
        <v>114868.697269382</v>
      </c>
      <c r="CL22" s="2">
        <v>126482.21799580099</v>
      </c>
      <c r="CM22" s="2">
        <v>133089.17166742001</v>
      </c>
      <c r="CN22" s="2">
        <v>133069.12797248701</v>
      </c>
      <c r="CO22" s="2">
        <v>135773.38629989099</v>
      </c>
      <c r="CP22" s="2">
        <v>130285.334933217</v>
      </c>
      <c r="CQ22" s="2">
        <v>136614.10822771001</v>
      </c>
      <c r="CR22" s="2">
        <v>131773.184738866</v>
      </c>
      <c r="CS22" s="2">
        <v>135923.289674017</v>
      </c>
      <c r="CT22" s="2">
        <v>131876.903806599</v>
      </c>
      <c r="CU22" s="2">
        <v>209.070385996792</v>
      </c>
      <c r="CV22" s="2">
        <v>209.802947804225</v>
      </c>
      <c r="CW22" s="2">
        <v>201.18314928766301</v>
      </c>
      <c r="CX22" s="2">
        <v>248.59943188477499</v>
      </c>
      <c r="CY22" s="2">
        <v>240.811723587778</v>
      </c>
      <c r="CZ22" s="1">
        <v>239.024652521402</v>
      </c>
    </row>
    <row r="23" spans="1:104" x14ac:dyDescent="0.2">
      <c r="A23">
        <v>7298</v>
      </c>
      <c r="B23" s="2">
        <v>118</v>
      </c>
      <c r="C23" s="2" t="s">
        <v>8</v>
      </c>
      <c r="D23" s="2" t="s">
        <v>213</v>
      </c>
      <c r="E23" s="2" t="s">
        <v>212</v>
      </c>
      <c r="F23" s="2" t="s">
        <v>211</v>
      </c>
      <c r="G23" s="2" t="s">
        <v>210</v>
      </c>
      <c r="H23" s="2">
        <v>2</v>
      </c>
      <c r="I23" s="2" t="s">
        <v>209</v>
      </c>
      <c r="J23" s="2">
        <v>857.61501999999996</v>
      </c>
      <c r="K23" s="2">
        <v>857.61500000000001</v>
      </c>
      <c r="L23" s="2">
        <v>856.60664659999998</v>
      </c>
      <c r="M23" s="2">
        <v>5.7190000000000003</v>
      </c>
      <c r="N23" s="2">
        <v>5.72</v>
      </c>
      <c r="O23" s="2">
        <v>1.1949028619176938</v>
      </c>
      <c r="P23" s="5" t="s">
        <v>157</v>
      </c>
      <c r="Q23" s="2">
        <v>4.7869999999999999</v>
      </c>
      <c r="R23" s="2">
        <v>1</v>
      </c>
      <c r="S23" s="2" t="s">
        <v>2</v>
      </c>
      <c r="T23" s="2" t="s">
        <v>1</v>
      </c>
      <c r="U23">
        <f t="shared" si="0"/>
        <v>8.5387494126683422E-2</v>
      </c>
      <c r="V23">
        <f t="shared" si="1"/>
        <v>0.14326341026916969</v>
      </c>
      <c r="W23">
        <f t="shared" si="2"/>
        <v>0.41879125981199594</v>
      </c>
      <c r="X23">
        <f t="shared" si="3"/>
        <v>0.48216057160123155</v>
      </c>
      <c r="Y23">
        <f t="shared" si="4"/>
        <v>0.63087532715515282</v>
      </c>
      <c r="Z23">
        <f t="shared" si="5"/>
        <v>0.81791098918464322</v>
      </c>
      <c r="AA23">
        <f t="shared" si="6"/>
        <v>6.2099208231239142E-2</v>
      </c>
      <c r="AB23">
        <f t="shared" si="7"/>
        <v>1.4583247700527574E-2</v>
      </c>
      <c r="AC23" s="2">
        <v>90067.106104573497</v>
      </c>
      <c r="AD23" s="2">
        <v>127728.663353589</v>
      </c>
      <c r="AE23" s="2">
        <v>101049.288802205</v>
      </c>
      <c r="AF23" s="2">
        <v>97712.653072539499</v>
      </c>
      <c r="AG23" s="2">
        <v>92168.915493189605</v>
      </c>
      <c r="AH23" s="2">
        <v>109820.272661157</v>
      </c>
      <c r="AI23" s="2">
        <v>88660.832435317599</v>
      </c>
      <c r="AJ23" s="2">
        <v>103670.454446699</v>
      </c>
      <c r="AK23" s="2">
        <v>108145.646994305</v>
      </c>
      <c r="AL23" s="2">
        <v>74566.804134189006</v>
      </c>
      <c r="AM23" s="2">
        <v>142725.67655221201</v>
      </c>
      <c r="AN23" s="2">
        <v>76202.541506787893</v>
      </c>
      <c r="AO23" s="2">
        <v>88231.538248488607</v>
      </c>
      <c r="AP23" s="2">
        <v>107913.90022228099</v>
      </c>
      <c r="AQ23" s="2">
        <v>109348.23767741201</v>
      </c>
      <c r="AR23" s="2">
        <v>130622.96466523501</v>
      </c>
      <c r="AS23" s="2">
        <v>145077.23619616701</v>
      </c>
      <c r="AT23" s="2">
        <v>99510.476111545999</v>
      </c>
      <c r="AU23" s="2">
        <v>150190.781550588</v>
      </c>
      <c r="AV23" s="2">
        <v>111424.45085332201</v>
      </c>
      <c r="AW23" s="2">
        <v>160603.04037696801</v>
      </c>
      <c r="AX23" s="2">
        <v>110967.655065787</v>
      </c>
      <c r="AY23" s="2">
        <v>136488.35517167099</v>
      </c>
      <c r="AZ23" s="2">
        <v>124799.56742702299</v>
      </c>
      <c r="BA23" s="2">
        <v>143285.83987205601</v>
      </c>
      <c r="BB23" s="2">
        <v>110754.397899716</v>
      </c>
      <c r="BC23" s="2">
        <v>115383.577458784</v>
      </c>
      <c r="BD23" s="2">
        <v>83156.751057005604</v>
      </c>
      <c r="BE23" s="2">
        <v>116419.72926478001</v>
      </c>
      <c r="BF23" s="2">
        <v>92460.066815441896</v>
      </c>
      <c r="BG23" s="2">
        <v>76151.111856575604</v>
      </c>
      <c r="BH23" s="2">
        <v>88689.670289821705</v>
      </c>
      <c r="BI23" s="2">
        <v>66180.540264452196</v>
      </c>
      <c r="BJ23" s="2">
        <v>81602.946047099002</v>
      </c>
      <c r="BK23" s="2">
        <v>83309.065088529795</v>
      </c>
      <c r="BL23" s="2">
        <v>77314.5695188588</v>
      </c>
      <c r="BM23" s="2">
        <v>79469.111631202206</v>
      </c>
      <c r="BN23" s="2">
        <v>77078.498521356203</v>
      </c>
      <c r="BO23" s="2">
        <v>84701.664062920594</v>
      </c>
      <c r="BP23" s="2">
        <v>87796.560488908799</v>
      </c>
      <c r="BQ23" s="2">
        <v>100742.813359102</v>
      </c>
      <c r="BR23" s="2">
        <v>103075.963484311</v>
      </c>
      <c r="BS23" s="2">
        <v>104011.671639026</v>
      </c>
      <c r="BT23" s="2">
        <v>98201.307510558006</v>
      </c>
      <c r="BU23" s="2">
        <v>136525.595008993</v>
      </c>
      <c r="BV23" s="2">
        <v>115406.753612562</v>
      </c>
      <c r="BW23" s="2">
        <v>120889.58813049299</v>
      </c>
      <c r="BX23" s="2">
        <v>110658.98304524399</v>
      </c>
      <c r="BY23" s="2">
        <v>109657.17076342501</v>
      </c>
      <c r="BZ23" s="2">
        <v>151159.74345831099</v>
      </c>
      <c r="CA23">
        <f t="shared" si="8"/>
        <v>-0.44067084455108113</v>
      </c>
      <c r="CB23">
        <f t="shared" si="9"/>
        <v>-0.47889786524581429</v>
      </c>
      <c r="CC23">
        <f t="shared" si="10"/>
        <v>-0.10365604066181631</v>
      </c>
      <c r="CD23">
        <f t="shared" si="11"/>
        <v>5.9363665797204597E-2</v>
      </c>
      <c r="CE23" s="3">
        <f t="shared" si="12"/>
        <v>1.3149672684048099E-2</v>
      </c>
      <c r="CF23" s="3">
        <f t="shared" si="13"/>
        <v>1.29395746582534E-2</v>
      </c>
      <c r="CG23" s="3">
        <f t="shared" si="14"/>
        <v>0.630107593821428</v>
      </c>
      <c r="CH23" s="3">
        <f t="shared" si="15"/>
        <v>0.11630267368128278</v>
      </c>
      <c r="CI23" s="2">
        <v>51608.150203357698</v>
      </c>
      <c r="CJ23" s="2">
        <v>45087.8029601409</v>
      </c>
      <c r="CK23" s="2">
        <v>83001.041573866794</v>
      </c>
      <c r="CL23" s="2">
        <v>80395.5329527828</v>
      </c>
      <c r="CM23" s="2">
        <v>105148.952881673</v>
      </c>
      <c r="CN23" s="2">
        <v>116514.343423805</v>
      </c>
      <c r="CO23" s="2">
        <v>108433.308178712</v>
      </c>
      <c r="CP23" s="2">
        <v>107706.34940526899</v>
      </c>
      <c r="CQ23" s="2">
        <v>107611.16702145</v>
      </c>
      <c r="CR23" s="2">
        <v>110642.15714974</v>
      </c>
      <c r="CS23" s="2">
        <v>110058.111754905</v>
      </c>
      <c r="CT23" s="2">
        <v>109276.612899931</v>
      </c>
      <c r="CU23" s="2">
        <v>227.41560459265199</v>
      </c>
      <c r="CV23" s="2">
        <v>279.29330525947699</v>
      </c>
      <c r="CW23" s="2">
        <v>260.38918457381601</v>
      </c>
      <c r="CX23" s="2">
        <v>271.40916934946699</v>
      </c>
      <c r="CY23" s="2">
        <v>294.39159504058699</v>
      </c>
      <c r="CZ23" s="1">
        <v>305.121787193101</v>
      </c>
    </row>
    <row r="24" spans="1:104" x14ac:dyDescent="0.2">
      <c r="A24">
        <v>7297</v>
      </c>
      <c r="B24" s="2">
        <v>117</v>
      </c>
      <c r="C24" s="2" t="s">
        <v>8</v>
      </c>
      <c r="D24" s="2" t="s">
        <v>208</v>
      </c>
      <c r="E24" s="2" t="s">
        <v>207</v>
      </c>
      <c r="F24" s="2" t="s">
        <v>206</v>
      </c>
      <c r="G24" s="2" t="s">
        <v>205</v>
      </c>
      <c r="H24" s="2">
        <v>2</v>
      </c>
      <c r="I24" s="2" t="s">
        <v>200</v>
      </c>
      <c r="J24" s="2">
        <v>855.60014000000001</v>
      </c>
      <c r="K24" s="2">
        <v>855.6001</v>
      </c>
      <c r="L24" s="2">
        <v>854.59176660000003</v>
      </c>
      <c r="M24" s="2">
        <v>5.0410000000000004</v>
      </c>
      <c r="N24" s="2">
        <v>5.04</v>
      </c>
      <c r="O24" s="2">
        <v>1.0528514727386673</v>
      </c>
      <c r="P24" s="5" t="s">
        <v>157</v>
      </c>
      <c r="Q24" s="2">
        <v>4.7869999999999999</v>
      </c>
      <c r="R24" s="2">
        <v>1</v>
      </c>
      <c r="S24" s="2" t="s">
        <v>2</v>
      </c>
      <c r="T24" s="2" t="s">
        <v>1</v>
      </c>
      <c r="U24">
        <f t="shared" si="0"/>
        <v>0.40719155111546101</v>
      </c>
      <c r="V24">
        <f t="shared" si="1"/>
        <v>0.46537068178392793</v>
      </c>
      <c r="W24">
        <f t="shared" si="2"/>
        <v>0.32607121654267163</v>
      </c>
      <c r="X24">
        <f t="shared" si="3"/>
        <v>0.27812307750401216</v>
      </c>
      <c r="Y24">
        <f t="shared" si="4"/>
        <v>5.7934693178130102E-3</v>
      </c>
      <c r="Z24">
        <f t="shared" si="5"/>
        <v>1.4501257159867751E-2</v>
      </c>
      <c r="AA24">
        <f t="shared" si="6"/>
        <v>0.39992015574747009</v>
      </c>
      <c r="AB24">
        <f t="shared" si="7"/>
        <v>4.7083777808770268E-3</v>
      </c>
      <c r="AC24" s="2">
        <v>199927.78188582399</v>
      </c>
      <c r="AD24" s="2">
        <v>177316.67244658701</v>
      </c>
      <c r="AE24" s="2">
        <v>175240.807030884</v>
      </c>
      <c r="AF24" s="2">
        <v>147565.06256776</v>
      </c>
      <c r="AG24" s="2">
        <v>174857.880806275</v>
      </c>
      <c r="AH24" s="2">
        <v>232387.15301585899</v>
      </c>
      <c r="AI24" s="2">
        <v>188835.28929702201</v>
      </c>
      <c r="AJ24" s="2">
        <v>234657.730023315</v>
      </c>
      <c r="AK24" s="2">
        <v>242982.94909626801</v>
      </c>
      <c r="AL24" s="2">
        <v>213846.177443072</v>
      </c>
      <c r="AM24" s="2">
        <v>258230.88473245001</v>
      </c>
      <c r="AN24" s="2">
        <v>170087.78358417601</v>
      </c>
      <c r="AO24" s="2">
        <v>241950.08491933101</v>
      </c>
      <c r="AP24" s="2">
        <v>245558.842899468</v>
      </c>
      <c r="AQ24" s="2">
        <v>231581.67511591301</v>
      </c>
      <c r="AR24" s="2">
        <v>219680.982106451</v>
      </c>
      <c r="AS24" s="2">
        <v>273814.37141147099</v>
      </c>
      <c r="AT24" s="2">
        <v>120950.846753711</v>
      </c>
      <c r="AU24" s="2">
        <v>229613.66301162299</v>
      </c>
      <c r="AV24" s="2">
        <v>157241.34068390599</v>
      </c>
      <c r="AW24" s="2">
        <v>212499.852712138</v>
      </c>
      <c r="AX24" s="2">
        <v>214830.03309444501</v>
      </c>
      <c r="AY24" s="2">
        <v>214290.48140652501</v>
      </c>
      <c r="AZ24" s="2">
        <v>198614.385288063</v>
      </c>
      <c r="BA24" s="2">
        <v>206260.26613610401</v>
      </c>
      <c r="BB24" s="2">
        <v>245711.25341677101</v>
      </c>
      <c r="BC24" s="2">
        <v>217626.94932468099</v>
      </c>
      <c r="BD24" s="2">
        <v>267415.59479162103</v>
      </c>
      <c r="BE24" s="2">
        <v>235992.385020302</v>
      </c>
      <c r="BF24" s="2">
        <v>192217.98450785701</v>
      </c>
      <c r="BG24" s="2">
        <v>189550.20973448499</v>
      </c>
      <c r="BH24" s="2">
        <v>228709.33375108699</v>
      </c>
      <c r="BI24" s="2">
        <v>184110.23045585299</v>
      </c>
      <c r="BJ24" s="2">
        <v>201345.851228068</v>
      </c>
      <c r="BK24" s="2">
        <v>178208.41618323201</v>
      </c>
      <c r="BL24" s="2">
        <v>234929.18375852401</v>
      </c>
      <c r="BM24" s="2">
        <v>228897.54711176801</v>
      </c>
      <c r="BN24" s="2">
        <v>199740.46981438599</v>
      </c>
      <c r="BO24" s="2">
        <v>187368.12302585901</v>
      </c>
      <c r="BP24" s="2">
        <v>322055.78835761599</v>
      </c>
      <c r="BQ24" s="2">
        <v>265321.07089288998</v>
      </c>
      <c r="BR24" s="2">
        <v>177785.529780271</v>
      </c>
      <c r="BS24" s="2">
        <v>137586.535321387</v>
      </c>
      <c r="BT24" s="2">
        <v>185444.33177574401</v>
      </c>
      <c r="BU24" s="2">
        <v>264075.47579258197</v>
      </c>
      <c r="BV24" s="2">
        <v>248678.74172830299</v>
      </c>
      <c r="BW24" s="2">
        <v>198319.83343172801</v>
      </c>
      <c r="BX24" s="2">
        <v>211420.347265797</v>
      </c>
      <c r="BY24" s="2">
        <v>171850.67592767699</v>
      </c>
      <c r="BZ24" s="2">
        <v>252899.45174207701</v>
      </c>
      <c r="CA24">
        <f t="shared" si="8"/>
        <v>-0.31616025476262682</v>
      </c>
      <c r="CB24">
        <f t="shared" si="9"/>
        <v>-4.4038304675673753E-2</v>
      </c>
      <c r="CC24">
        <f t="shared" si="10"/>
        <v>-0.34775413597172805</v>
      </c>
      <c r="CD24">
        <f t="shared" si="11"/>
        <v>-0.15862607804875287</v>
      </c>
      <c r="CE24" s="3">
        <f t="shared" si="12"/>
        <v>5.2473218388420562E-2</v>
      </c>
      <c r="CF24" s="3">
        <f t="shared" si="13"/>
        <v>0.91923441912819959</v>
      </c>
      <c r="CG24" s="3">
        <f t="shared" si="14"/>
        <v>0.38974817002057094</v>
      </c>
      <c r="CH24" s="3">
        <f t="shared" si="15"/>
        <v>0.46906911109598193</v>
      </c>
      <c r="CI24" s="2">
        <v>91556.266571763306</v>
      </c>
      <c r="CJ24" s="2">
        <v>107553.012172335</v>
      </c>
      <c r="CK24" s="2">
        <v>113005.740393285</v>
      </c>
      <c r="CL24" s="2">
        <v>124850.29219507299</v>
      </c>
      <c r="CM24" s="2">
        <v>210338.24641943799</v>
      </c>
      <c r="CN24" s="2">
        <v>224310.11980895701</v>
      </c>
      <c r="CO24" s="2">
        <v>231094.08472291601</v>
      </c>
      <c r="CP24" s="2">
        <v>201607.27967943699</v>
      </c>
      <c r="CQ24" s="2">
        <v>218232.255081607</v>
      </c>
      <c r="CR24" s="2">
        <v>211472.234099928</v>
      </c>
      <c r="CS24" s="2">
        <v>228082.09649673899</v>
      </c>
      <c r="CT24" s="2">
        <v>214471.59687401299</v>
      </c>
      <c r="CU24" s="2">
        <v>213.75666977661501</v>
      </c>
      <c r="CV24" s="2">
        <v>207.67218847443201</v>
      </c>
      <c r="CW24" s="2">
        <v>210.33539535699899</v>
      </c>
      <c r="CX24" s="2">
        <v>252.763525539189</v>
      </c>
      <c r="CY24" s="2">
        <v>249.075648232963</v>
      </c>
      <c r="CZ24" s="1">
        <v>240.76414676623199</v>
      </c>
    </row>
    <row r="25" spans="1:104" x14ac:dyDescent="0.2">
      <c r="A25">
        <v>7296</v>
      </c>
      <c r="B25" s="2">
        <v>115</v>
      </c>
      <c r="C25" s="2" t="s">
        <v>8</v>
      </c>
      <c r="D25" s="2" t="s">
        <v>204</v>
      </c>
      <c r="E25" s="2" t="s">
        <v>203</v>
      </c>
      <c r="F25" s="2" t="s">
        <v>202</v>
      </c>
      <c r="G25" s="2" t="s">
        <v>201</v>
      </c>
      <c r="H25" s="2">
        <v>2</v>
      </c>
      <c r="I25" s="2" t="s">
        <v>200</v>
      </c>
      <c r="J25" s="2">
        <v>855.60014000000001</v>
      </c>
      <c r="K25" s="2">
        <v>855.6001</v>
      </c>
      <c r="L25" s="2">
        <v>854.59176660000003</v>
      </c>
      <c r="M25" s="2">
        <v>5.34</v>
      </c>
      <c r="N25" s="2">
        <v>5.34</v>
      </c>
      <c r="O25" s="2">
        <v>1.115521203258826</v>
      </c>
      <c r="P25" s="5" t="s">
        <v>157</v>
      </c>
      <c r="Q25" s="2">
        <v>4.7869999999999999</v>
      </c>
      <c r="R25" s="2">
        <v>1</v>
      </c>
      <c r="S25" s="2" t="s">
        <v>2</v>
      </c>
      <c r="T25" s="2" t="s">
        <v>1</v>
      </c>
      <c r="U25">
        <f t="shared" si="0"/>
        <v>0.28905415458161327</v>
      </c>
      <c r="V25">
        <f t="shared" si="1"/>
        <v>0.35518546059167871</v>
      </c>
      <c r="W25">
        <f t="shared" si="2"/>
        <v>0.46608557292819142</v>
      </c>
      <c r="X25">
        <f t="shared" si="3"/>
        <v>0.31019977166158724</v>
      </c>
      <c r="Y25">
        <f t="shared" si="4"/>
        <v>2.1629057886810486E-2</v>
      </c>
      <c r="Z25">
        <f t="shared" si="5"/>
        <v>8.540116849792322E-3</v>
      </c>
      <c r="AA25">
        <f t="shared" si="6"/>
        <v>1.8529451924705176E-2</v>
      </c>
      <c r="AB25">
        <f t="shared" si="7"/>
        <v>7.7513610253810055E-3</v>
      </c>
      <c r="AC25" s="2">
        <v>2291868.7397990101</v>
      </c>
      <c r="AD25" s="2">
        <v>2653328.0291798301</v>
      </c>
      <c r="AE25" s="2">
        <v>2314809.2999300701</v>
      </c>
      <c r="AF25" s="2">
        <v>2438481.9052699301</v>
      </c>
      <c r="AG25" s="2">
        <v>2563022.9841411998</v>
      </c>
      <c r="AH25" s="2">
        <v>2979432.2075469098</v>
      </c>
      <c r="AI25" s="2">
        <v>2489307.48241462</v>
      </c>
      <c r="AJ25" s="2">
        <v>3150956.6754405</v>
      </c>
      <c r="AK25" s="2">
        <v>3371099.9028944001</v>
      </c>
      <c r="AL25" s="2">
        <v>2707383.8869406101</v>
      </c>
      <c r="AM25" s="2">
        <v>3738197.8877111501</v>
      </c>
      <c r="AN25" s="2">
        <v>2545039.47284126</v>
      </c>
      <c r="AO25" s="2">
        <v>3119184.1470321598</v>
      </c>
      <c r="AP25" s="2">
        <v>3428291.0720873699</v>
      </c>
      <c r="AQ25" s="2">
        <v>3078317.36678414</v>
      </c>
      <c r="AR25" s="2">
        <v>3990531.9694366399</v>
      </c>
      <c r="AS25" s="2">
        <v>3822793.1753011001</v>
      </c>
      <c r="AT25" s="2">
        <v>2752665.3111318299</v>
      </c>
      <c r="AU25" s="2">
        <v>3368412.5382417599</v>
      </c>
      <c r="AV25" s="2">
        <v>2581532.4347825898</v>
      </c>
      <c r="AW25" s="2">
        <v>2774640.9612399898</v>
      </c>
      <c r="AX25" s="2">
        <v>3311869.2542157099</v>
      </c>
      <c r="AY25" s="2">
        <v>2748027.1629641</v>
      </c>
      <c r="AZ25" s="2">
        <v>3023423.4221008802</v>
      </c>
      <c r="BA25" s="2">
        <v>3645279.89104011</v>
      </c>
      <c r="BB25" s="2">
        <v>3548321.6130046598</v>
      </c>
      <c r="BC25" s="2">
        <v>3600622.5385788302</v>
      </c>
      <c r="BD25" s="2">
        <v>3559873.2394244699</v>
      </c>
      <c r="BE25" s="2">
        <v>3856005.51071952</v>
      </c>
      <c r="BF25" s="2">
        <v>2942703.6714101401</v>
      </c>
      <c r="BG25" s="2">
        <v>2931715.0884161601</v>
      </c>
      <c r="BH25" s="2">
        <v>3210780.9664096502</v>
      </c>
      <c r="BI25" s="2">
        <v>2619102.0737168598</v>
      </c>
      <c r="BJ25" s="2">
        <v>3064867.9235186698</v>
      </c>
      <c r="BK25" s="2">
        <v>2739520.5826119399</v>
      </c>
      <c r="BL25" s="2">
        <v>3194613.2926231599</v>
      </c>
      <c r="BM25" s="2">
        <v>3436068.5855427501</v>
      </c>
      <c r="BN25" s="2">
        <v>3091937.1607407299</v>
      </c>
      <c r="BO25" s="2">
        <v>3312988.59268176</v>
      </c>
      <c r="BP25" s="2">
        <v>4119807.9965311498</v>
      </c>
      <c r="BQ25" s="2">
        <v>3234646.58757954</v>
      </c>
      <c r="BR25" s="2">
        <v>3553842.5154522602</v>
      </c>
      <c r="BS25" s="2">
        <v>3504707.7256368101</v>
      </c>
      <c r="BT25" s="2">
        <v>2945633.2561673601</v>
      </c>
      <c r="BU25" s="2">
        <v>3858043.38392956</v>
      </c>
      <c r="BV25" s="2">
        <v>3837275.5690948898</v>
      </c>
      <c r="BW25" s="2">
        <v>3988995.3386631701</v>
      </c>
      <c r="BX25" s="2">
        <v>3847197.7783033801</v>
      </c>
      <c r="BY25" s="2">
        <v>3603322.7847911301</v>
      </c>
      <c r="BZ25" s="2">
        <v>4512522.4859677004</v>
      </c>
      <c r="CA25">
        <f t="shared" si="8"/>
        <v>-0.2800809648908526</v>
      </c>
      <c r="CB25">
        <f t="shared" si="9"/>
        <v>-0.10369263445009194</v>
      </c>
      <c r="CC25">
        <f t="shared" si="10"/>
        <v>-2.2531734371307004E-2</v>
      </c>
      <c r="CD25">
        <f t="shared" si="11"/>
        <v>0.11198212781828</v>
      </c>
      <c r="CE25" s="3">
        <f t="shared" si="12"/>
        <v>1.2879218697897375E-2</v>
      </c>
      <c r="CF25" s="3">
        <f t="shared" si="13"/>
        <v>0.77287228171970135</v>
      </c>
      <c r="CG25" s="3">
        <f t="shared" si="14"/>
        <v>0.7131698310234359</v>
      </c>
      <c r="CH25" s="3">
        <f t="shared" si="15"/>
        <v>6.5362258878587765E-2</v>
      </c>
      <c r="CI25" s="2">
        <v>2221940.2248186502</v>
      </c>
      <c r="CJ25" s="2">
        <v>2088661.28680509</v>
      </c>
      <c r="CK25" s="2">
        <v>2515567.81887011</v>
      </c>
      <c r="CL25" s="2">
        <v>2504195.3690712601</v>
      </c>
      <c r="CM25" s="2">
        <v>3352130.7210246199</v>
      </c>
      <c r="CN25" s="2">
        <v>3285418.8485999298</v>
      </c>
      <c r="CO25" s="2">
        <v>3256902.9973918102</v>
      </c>
      <c r="CP25" s="2">
        <v>3244166.8970528701</v>
      </c>
      <c r="CQ25" s="2">
        <v>3382406.0017205002</v>
      </c>
      <c r="CR25" s="2">
        <v>3367767.4341836502</v>
      </c>
      <c r="CS25" s="2">
        <v>3413650.7536013899</v>
      </c>
      <c r="CT25" s="2">
        <v>3189106.5603342098</v>
      </c>
      <c r="CU25" s="2">
        <v>234.811588670303</v>
      </c>
      <c r="CV25" s="2">
        <v>233.50931181316199</v>
      </c>
      <c r="CW25" s="2">
        <v>238.03305959345701</v>
      </c>
      <c r="CX25" s="2">
        <v>258.652541292926</v>
      </c>
      <c r="CY25" s="2">
        <v>250.03331100683201</v>
      </c>
      <c r="CZ25" s="1">
        <v>258.61599157224202</v>
      </c>
    </row>
    <row r="26" spans="1:104" x14ac:dyDescent="0.2">
      <c r="A26">
        <v>7294</v>
      </c>
      <c r="B26" s="2">
        <v>113</v>
      </c>
      <c r="C26" s="2" t="s">
        <v>8</v>
      </c>
      <c r="D26" s="2" t="s">
        <v>199</v>
      </c>
      <c r="E26" s="2" t="s">
        <v>198</v>
      </c>
      <c r="F26" s="2" t="s">
        <v>197</v>
      </c>
      <c r="G26" s="2" t="s">
        <v>196</v>
      </c>
      <c r="H26" s="2">
        <v>2</v>
      </c>
      <c r="I26" s="2" t="s">
        <v>191</v>
      </c>
      <c r="J26" s="2">
        <v>853.58371</v>
      </c>
      <c r="K26" s="2">
        <v>853.58370000000002</v>
      </c>
      <c r="L26" s="2">
        <v>852.57533660000001</v>
      </c>
      <c r="M26" s="2">
        <v>4.5190000000000001</v>
      </c>
      <c r="N26" s="2">
        <v>4.5199999999999996</v>
      </c>
      <c r="O26" s="2">
        <v>0.94422393983705866</v>
      </c>
      <c r="P26" s="5" t="s">
        <v>157</v>
      </c>
      <c r="Q26" s="2">
        <v>4.7869999999999999</v>
      </c>
      <c r="R26" s="2">
        <v>1</v>
      </c>
      <c r="S26" s="2" t="s">
        <v>2</v>
      </c>
      <c r="T26" s="2" t="s">
        <v>1</v>
      </c>
      <c r="U26">
        <f t="shared" si="0"/>
        <v>4.1606815919504658E-2</v>
      </c>
      <c r="V26">
        <f t="shared" si="1"/>
        <v>7.5295254722554272E-2</v>
      </c>
      <c r="W26">
        <f t="shared" si="2"/>
        <v>0.24156946498199566</v>
      </c>
      <c r="X26">
        <f t="shared" si="3"/>
        <v>0.14039842157771887</v>
      </c>
      <c r="Y26">
        <f t="shared" si="4"/>
        <v>0.15910567699856315</v>
      </c>
      <c r="Z26">
        <f t="shared" si="5"/>
        <v>0.73355647610753194</v>
      </c>
      <c r="AA26">
        <f t="shared" si="6"/>
        <v>0.42403093007318415</v>
      </c>
      <c r="AB26">
        <f t="shared" si="7"/>
        <v>7.0734536152308189E-3</v>
      </c>
      <c r="AC26" s="2">
        <v>1533534.1676673</v>
      </c>
      <c r="AD26" s="2">
        <v>1647208.6423546299</v>
      </c>
      <c r="AE26" s="2">
        <v>1542173.7395821901</v>
      </c>
      <c r="AF26" s="2">
        <v>1431060.81181804</v>
      </c>
      <c r="AG26" s="2">
        <v>1486729.66307339</v>
      </c>
      <c r="AH26" s="2">
        <v>1722114.88879739</v>
      </c>
      <c r="AI26" s="2">
        <v>1565302.8463713599</v>
      </c>
      <c r="AJ26" s="2">
        <v>1578404.6666788</v>
      </c>
      <c r="AK26" s="2">
        <v>1654678.57202692</v>
      </c>
      <c r="AL26" s="2">
        <v>1515820.02396682</v>
      </c>
      <c r="AM26" s="2">
        <v>1750986.8861066501</v>
      </c>
      <c r="AN26" s="2">
        <v>1278352.5543991399</v>
      </c>
      <c r="AO26" s="2">
        <v>1615695.7658750501</v>
      </c>
      <c r="AP26" s="2">
        <v>1640301.9085802799</v>
      </c>
      <c r="AQ26" s="2">
        <v>1509742.8241537199</v>
      </c>
      <c r="AR26" s="2">
        <v>1813063.9038507901</v>
      </c>
      <c r="AS26" s="2">
        <v>1967877.15759377</v>
      </c>
      <c r="AT26" s="2">
        <v>1102194.7803064899</v>
      </c>
      <c r="AU26" s="2">
        <v>1910819.763644</v>
      </c>
      <c r="AV26" s="2">
        <v>1534597.88737864</v>
      </c>
      <c r="AW26" s="2">
        <v>1637199.1860691099</v>
      </c>
      <c r="AX26" s="2">
        <v>1703042.3329414199</v>
      </c>
      <c r="AY26" s="2">
        <v>1624187.13128671</v>
      </c>
      <c r="AZ26" s="2">
        <v>1690275.8749615599</v>
      </c>
      <c r="BA26" s="2">
        <v>1754060.0762873699</v>
      </c>
      <c r="BB26" s="2">
        <v>2126767.7397055002</v>
      </c>
      <c r="BC26" s="2">
        <v>1908991.45229641</v>
      </c>
      <c r="BD26" s="2">
        <v>2397663.19900554</v>
      </c>
      <c r="BE26" s="2">
        <v>2079072.6765172801</v>
      </c>
      <c r="BF26" s="2">
        <v>1919519.4796699199</v>
      </c>
      <c r="BG26" s="2">
        <v>1731916.7890670199</v>
      </c>
      <c r="BH26" s="2">
        <v>1907749.3749391399</v>
      </c>
      <c r="BI26" s="2">
        <v>1637805.8560136</v>
      </c>
      <c r="BJ26" s="2">
        <v>1949842.5767876401</v>
      </c>
      <c r="BK26" s="2">
        <v>1636852.6970001899</v>
      </c>
      <c r="BL26" s="2">
        <v>1843744.8457058801</v>
      </c>
      <c r="BM26" s="2">
        <v>1950473.63817026</v>
      </c>
      <c r="BN26" s="2">
        <v>1689648.9953447899</v>
      </c>
      <c r="BO26" s="2">
        <v>1598996.98564294</v>
      </c>
      <c r="BP26" s="2">
        <v>2261332.76777955</v>
      </c>
      <c r="BQ26" s="2">
        <v>2446158.3237750698</v>
      </c>
      <c r="BR26" s="2">
        <v>2121792.97976398</v>
      </c>
      <c r="BS26" s="2">
        <v>2015763.16690354</v>
      </c>
      <c r="BT26" s="2">
        <v>1957055.60552995</v>
      </c>
      <c r="BU26" s="2">
        <v>2403748.9464475298</v>
      </c>
      <c r="BV26" s="2">
        <v>2054611.7718227101</v>
      </c>
      <c r="BW26" s="2">
        <v>1861118.3703824</v>
      </c>
      <c r="BX26" s="2">
        <v>1944243.16718709</v>
      </c>
      <c r="BY26" s="2">
        <v>1754866.7365327601</v>
      </c>
      <c r="BZ26" s="2">
        <v>2333053.51460682</v>
      </c>
      <c r="CA26">
        <f t="shared" si="8"/>
        <v>-0.26357057361869274</v>
      </c>
      <c r="CB26">
        <f t="shared" si="9"/>
        <v>-0.1733011740087822</v>
      </c>
      <c r="CC26">
        <f t="shared" si="10"/>
        <v>2.9343711235476556E-2</v>
      </c>
      <c r="CD26">
        <f t="shared" si="11"/>
        <v>-9.6731521627554287E-2</v>
      </c>
      <c r="CE26" s="3">
        <f t="shared" si="12"/>
        <v>2.2205546157639977E-2</v>
      </c>
      <c r="CF26" s="3">
        <f t="shared" si="13"/>
        <v>0.17354330125344125</v>
      </c>
      <c r="CG26" s="3">
        <f t="shared" si="14"/>
        <v>0.46588186071962612</v>
      </c>
      <c r="CH26" s="3">
        <f t="shared" si="15"/>
        <v>0.4873484015550712</v>
      </c>
      <c r="CI26" s="2">
        <v>1142057.8920955199</v>
      </c>
      <c r="CJ26" s="2">
        <v>1214762.67669707</v>
      </c>
      <c r="CK26" s="2">
        <v>1348690.8338796101</v>
      </c>
      <c r="CL26" s="2">
        <v>1375268.69543291</v>
      </c>
      <c r="CM26" s="2">
        <v>1845426.87189253</v>
      </c>
      <c r="CN26" s="2">
        <v>1850937.2658792201</v>
      </c>
      <c r="CO26" s="2">
        <v>1722834.8856569</v>
      </c>
      <c r="CP26" s="2">
        <v>1876073.0908344199</v>
      </c>
      <c r="CQ26" s="2">
        <v>1769527.37106013</v>
      </c>
      <c r="CR26" s="2">
        <v>1884913.5650621699</v>
      </c>
      <c r="CS26" s="2">
        <v>1761319.4206936299</v>
      </c>
      <c r="CT26" s="2">
        <v>1853074.38565449</v>
      </c>
      <c r="CU26" s="2">
        <v>218.78444386915999</v>
      </c>
      <c r="CV26" s="2">
        <v>223.54811733249099</v>
      </c>
      <c r="CW26" s="2">
        <v>226.502241078179</v>
      </c>
      <c r="CX26" s="2">
        <v>266.74244255434797</v>
      </c>
      <c r="CY26" s="2">
        <v>265.04819144339803</v>
      </c>
      <c r="CZ26" s="1">
        <v>245.764888174021</v>
      </c>
    </row>
    <row r="27" spans="1:104" x14ac:dyDescent="0.2">
      <c r="A27">
        <v>7295</v>
      </c>
      <c r="B27" s="2">
        <v>114</v>
      </c>
      <c r="C27" s="2" t="s">
        <v>8</v>
      </c>
      <c r="D27" s="2" t="s">
        <v>195</v>
      </c>
      <c r="E27" s="2" t="s">
        <v>194</v>
      </c>
      <c r="F27" s="2" t="s">
        <v>193</v>
      </c>
      <c r="G27" s="2" t="s">
        <v>192</v>
      </c>
      <c r="H27" s="2">
        <v>2</v>
      </c>
      <c r="I27" s="2" t="s">
        <v>191</v>
      </c>
      <c r="J27" s="2">
        <v>853.58369000000005</v>
      </c>
      <c r="K27" s="2">
        <v>853.58370000000002</v>
      </c>
      <c r="L27" s="2">
        <v>852.57531660000006</v>
      </c>
      <c r="M27" s="2">
        <v>4.7859999999999996</v>
      </c>
      <c r="N27" s="2">
        <v>4.79</v>
      </c>
      <c r="O27" s="2">
        <v>1.0006266973052016</v>
      </c>
      <c r="P27" s="5" t="s">
        <v>157</v>
      </c>
      <c r="Q27" s="2">
        <v>4.7869999999999999</v>
      </c>
      <c r="R27" s="2">
        <v>1</v>
      </c>
      <c r="S27" s="2" t="s">
        <v>2</v>
      </c>
      <c r="T27" s="2" t="s">
        <v>1</v>
      </c>
      <c r="U27">
        <f t="shared" si="0"/>
        <v>0.2954443506827884</v>
      </c>
      <c r="V27">
        <f t="shared" si="1"/>
        <v>0.39537648810840453</v>
      </c>
      <c r="W27">
        <f t="shared" si="2"/>
        <v>0.22967963679362163</v>
      </c>
      <c r="X27">
        <f t="shared" si="3"/>
        <v>0.14910868471102456</v>
      </c>
      <c r="Y27">
        <f t="shared" si="4"/>
        <v>1.7598376760737035E-2</v>
      </c>
      <c r="Z27">
        <f t="shared" si="5"/>
        <v>1.8297542140273005E-3</v>
      </c>
      <c r="AA27">
        <f t="shared" si="6"/>
        <v>0.20758541703576797</v>
      </c>
      <c r="AB27">
        <f t="shared" si="7"/>
        <v>1.8045002526194925E-2</v>
      </c>
      <c r="AC27" s="2">
        <v>209033.67889270501</v>
      </c>
      <c r="AD27" s="2">
        <v>141162.75566086301</v>
      </c>
      <c r="AE27" s="2">
        <v>204694.610642905</v>
      </c>
      <c r="AF27" s="2">
        <v>165749.44865068901</v>
      </c>
      <c r="AG27" s="2">
        <v>198898.14538707401</v>
      </c>
      <c r="AH27" s="2">
        <v>242952.30362020101</v>
      </c>
      <c r="AI27" s="2">
        <v>188538.04163011999</v>
      </c>
      <c r="AJ27" s="2">
        <v>244100.31800322299</v>
      </c>
      <c r="AK27" s="2">
        <v>263501.72775761702</v>
      </c>
      <c r="AL27" s="2">
        <v>264636.01802505198</v>
      </c>
      <c r="AM27" s="2">
        <v>275734.41505395703</v>
      </c>
      <c r="AN27" s="2">
        <v>226861.41829834101</v>
      </c>
      <c r="AO27" s="2">
        <v>252380.079514752</v>
      </c>
      <c r="AP27" s="2">
        <v>289990.35026044201</v>
      </c>
      <c r="AQ27" s="2">
        <v>261607.93703219999</v>
      </c>
      <c r="AR27" s="2">
        <v>277952.678168596</v>
      </c>
      <c r="AS27" s="2">
        <v>272792.60133809701</v>
      </c>
      <c r="AT27" s="2">
        <v>138486.54824553599</v>
      </c>
      <c r="AU27" s="2">
        <v>233222.90128679899</v>
      </c>
      <c r="AV27" s="2">
        <v>196349.392714491</v>
      </c>
      <c r="AW27" s="2">
        <v>233364.073355281</v>
      </c>
      <c r="AX27" s="2">
        <v>219723.57086503599</v>
      </c>
      <c r="AY27" s="2">
        <v>220555.006392157</v>
      </c>
      <c r="AZ27" s="2">
        <v>218484.86630740299</v>
      </c>
      <c r="BA27" s="2">
        <v>226143.01989664399</v>
      </c>
      <c r="BB27" s="2">
        <v>195050.08508428399</v>
      </c>
      <c r="BC27" s="2">
        <v>190821.24523199501</v>
      </c>
      <c r="BD27" s="2">
        <v>218090.496274142</v>
      </c>
      <c r="BE27" s="2">
        <v>197840.055040065</v>
      </c>
      <c r="BF27" s="2">
        <v>173082.059399894</v>
      </c>
      <c r="BG27" s="2">
        <v>156344.50476655</v>
      </c>
      <c r="BH27" s="2">
        <v>170006.988891663</v>
      </c>
      <c r="BI27" s="2">
        <v>151526.69651898599</v>
      </c>
      <c r="BJ27" s="2">
        <v>184837.16920868901</v>
      </c>
      <c r="BK27" s="2">
        <v>150232.245442935</v>
      </c>
      <c r="BL27" s="2">
        <v>184123.14411934101</v>
      </c>
      <c r="BM27" s="2">
        <v>165438.162565145</v>
      </c>
      <c r="BN27" s="2">
        <v>188860.32241662301</v>
      </c>
      <c r="BO27" s="2">
        <v>164622.50544447199</v>
      </c>
      <c r="BP27" s="2">
        <v>237503.00647193001</v>
      </c>
      <c r="BQ27" s="2">
        <v>222426.881991756</v>
      </c>
      <c r="BR27" s="2">
        <v>197153.995343435</v>
      </c>
      <c r="BS27" s="2">
        <v>157393.96552060201</v>
      </c>
      <c r="BT27" s="2">
        <v>179155.15271267999</v>
      </c>
      <c r="BU27" s="2">
        <v>224957.52871181699</v>
      </c>
      <c r="BV27" s="2">
        <v>175360.23710006499</v>
      </c>
      <c r="BW27" s="2">
        <v>170343.69537087201</v>
      </c>
      <c r="BX27" s="2">
        <v>171936.94526616301</v>
      </c>
      <c r="BY27" s="2">
        <v>143547.402865576</v>
      </c>
      <c r="BZ27" s="2">
        <v>194564.058360942</v>
      </c>
      <c r="CA27">
        <f t="shared" si="8"/>
        <v>-0.3191161157223687</v>
      </c>
      <c r="CB27">
        <f t="shared" si="9"/>
        <v>-8.3173644091406179E-2</v>
      </c>
      <c r="CC27">
        <f t="shared" si="10"/>
        <v>1.5478319395028672E-2</v>
      </c>
      <c r="CD27">
        <f t="shared" si="11"/>
        <v>-0.18196504782433257</v>
      </c>
      <c r="CE27" s="3">
        <f t="shared" si="12"/>
        <v>1.0538449574564172E-2</v>
      </c>
      <c r="CF27" s="3">
        <f t="shared" si="13"/>
        <v>0.66137007751254817</v>
      </c>
      <c r="CG27" s="3">
        <f t="shared" si="14"/>
        <v>0.93503098368304827</v>
      </c>
      <c r="CH27" s="3">
        <f t="shared" si="15"/>
        <v>5.99598223632632E-2</v>
      </c>
      <c r="CI27" s="2">
        <v>53894.281941695102</v>
      </c>
      <c r="CJ27" s="2">
        <v>78893.398854222396</v>
      </c>
      <c r="CK27" s="2">
        <v>91705.629505235207</v>
      </c>
      <c r="CL27" s="2">
        <v>88992.087772449799</v>
      </c>
      <c r="CM27" s="2">
        <v>214558.720959194</v>
      </c>
      <c r="CN27" s="2">
        <v>208916.280164055</v>
      </c>
      <c r="CO27" s="2">
        <v>202788.802759379</v>
      </c>
      <c r="CP27" s="2">
        <v>232842.58993821399</v>
      </c>
      <c r="CQ27" s="2">
        <v>207383.22916207599</v>
      </c>
      <c r="CR27" s="2">
        <v>211999.230372505</v>
      </c>
      <c r="CS27" s="2">
        <v>209871.406437089</v>
      </c>
      <c r="CT27" s="2">
        <v>213350.87227877701</v>
      </c>
      <c r="CU27" s="2">
        <v>221.61007518231301</v>
      </c>
      <c r="CV27" s="2">
        <v>219.43504737758201</v>
      </c>
      <c r="CW27" s="2">
        <v>222.29664225413501</v>
      </c>
      <c r="CX27" s="2">
        <v>263.390941134088</v>
      </c>
      <c r="CY27" s="2">
        <v>244.67719445755699</v>
      </c>
      <c r="CZ27" s="1">
        <v>249.371159991371</v>
      </c>
    </row>
    <row r="28" spans="1:104" x14ac:dyDescent="0.2">
      <c r="A28">
        <v>7293</v>
      </c>
      <c r="B28" s="2">
        <v>112</v>
      </c>
      <c r="C28" s="2" t="s">
        <v>8</v>
      </c>
      <c r="D28" s="2" t="s">
        <v>190</v>
      </c>
      <c r="E28" s="2" t="s">
        <v>189</v>
      </c>
      <c r="F28" s="2" t="s">
        <v>188</v>
      </c>
      <c r="G28" s="2" t="s">
        <v>187</v>
      </c>
      <c r="H28" s="2">
        <v>2</v>
      </c>
      <c r="I28" s="2" t="s">
        <v>182</v>
      </c>
      <c r="J28" s="2">
        <v>851.56939999999997</v>
      </c>
      <c r="K28" s="2">
        <v>851.56939999999997</v>
      </c>
      <c r="L28" s="2">
        <v>850.56102659999999</v>
      </c>
      <c r="M28" s="2">
        <v>4.28</v>
      </c>
      <c r="N28" s="2">
        <v>4.28</v>
      </c>
      <c r="O28" s="2">
        <v>0.89408815542093178</v>
      </c>
      <c r="P28" s="5" t="s">
        <v>157</v>
      </c>
      <c r="Q28" s="2">
        <v>4.7869999999999999</v>
      </c>
      <c r="R28" s="2">
        <v>1</v>
      </c>
      <c r="S28" s="2" t="s">
        <v>2</v>
      </c>
      <c r="T28" s="2" t="s">
        <v>1</v>
      </c>
      <c r="U28">
        <f t="shared" si="0"/>
        <v>7.7796663480689518E-2</v>
      </c>
      <c r="V28">
        <f t="shared" si="1"/>
        <v>2.7038632452490882E-2</v>
      </c>
      <c r="W28">
        <f t="shared" si="2"/>
        <v>0.16533710206816643</v>
      </c>
      <c r="X28">
        <f t="shared" si="3"/>
        <v>-9.4970832433001681E-3</v>
      </c>
      <c r="Y28">
        <f t="shared" si="4"/>
        <v>0.10790365653884856</v>
      </c>
      <c r="Z28">
        <f t="shared" si="5"/>
        <v>0.91514838347268146</v>
      </c>
      <c r="AA28">
        <f t="shared" si="6"/>
        <v>0.64968958050923908</v>
      </c>
      <c r="AB28">
        <f t="shared" si="7"/>
        <v>0.70631953910690592</v>
      </c>
      <c r="AC28" s="2">
        <v>5075316.2791695697</v>
      </c>
      <c r="AD28" s="2">
        <v>5586044.7028132603</v>
      </c>
      <c r="AE28" s="2">
        <v>5297770.54455991</v>
      </c>
      <c r="AF28" s="2">
        <v>5194793.1823163303</v>
      </c>
      <c r="AG28" s="2">
        <v>5402832.6771958899</v>
      </c>
      <c r="AH28" s="2">
        <v>5856918.2873706296</v>
      </c>
      <c r="AI28" s="2">
        <v>5158385.6862672605</v>
      </c>
      <c r="AJ28" s="2">
        <v>5591293.2891519303</v>
      </c>
      <c r="AK28" s="2">
        <v>5928895.9554865099</v>
      </c>
      <c r="AL28" s="2">
        <v>5498209.5770839797</v>
      </c>
      <c r="AM28" s="2">
        <v>5973579.2910594996</v>
      </c>
      <c r="AN28" s="2">
        <v>4330051.0015699696</v>
      </c>
      <c r="AO28" s="2">
        <v>5225236.6465891199</v>
      </c>
      <c r="AP28" s="2">
        <v>5397996.3150253398</v>
      </c>
      <c r="AQ28" s="2">
        <v>5474792.5321871396</v>
      </c>
      <c r="AR28" s="2">
        <v>6199778.4757682802</v>
      </c>
      <c r="AS28" s="2">
        <v>6650778.3844206696</v>
      </c>
      <c r="AT28" s="2">
        <v>3401012.9671315802</v>
      </c>
      <c r="AU28" s="2">
        <v>5941068.65967994</v>
      </c>
      <c r="AV28" s="2">
        <v>5717243.8133228403</v>
      </c>
      <c r="AW28" s="2">
        <v>5225170.0672984403</v>
      </c>
      <c r="AX28" s="2">
        <v>6044197.2772425702</v>
      </c>
      <c r="AY28" s="2">
        <v>5071013.9566669501</v>
      </c>
      <c r="AZ28" s="2">
        <v>5326515.0499886703</v>
      </c>
      <c r="BA28" s="2">
        <v>5263010.5115062501</v>
      </c>
      <c r="BB28" s="2">
        <v>5785981.0434814999</v>
      </c>
      <c r="BC28" s="2">
        <v>5924754.1564133801</v>
      </c>
      <c r="BD28" s="2">
        <v>7191033.23951995</v>
      </c>
      <c r="BE28" s="2">
        <v>7088853.4290420003</v>
      </c>
      <c r="BF28" s="2">
        <v>5804810.1458030101</v>
      </c>
      <c r="BG28" s="2">
        <v>5212704.7748630997</v>
      </c>
      <c r="BH28" s="2">
        <v>5586233.6059044404</v>
      </c>
      <c r="BI28" s="2">
        <v>5270011.4816624997</v>
      </c>
      <c r="BJ28" s="2">
        <v>5570822.1380295902</v>
      </c>
      <c r="BK28" s="2">
        <v>4649208.36158993</v>
      </c>
      <c r="BL28" s="2">
        <v>5653331.3045579903</v>
      </c>
      <c r="BM28" s="2">
        <v>5345642.2534446698</v>
      </c>
      <c r="BN28" s="2">
        <v>5218161.9196496103</v>
      </c>
      <c r="BO28" s="2">
        <v>5036410.8484647404</v>
      </c>
      <c r="BP28" s="2">
        <v>6553309.1554098902</v>
      </c>
      <c r="BQ28" s="2">
        <v>6778806.0870313803</v>
      </c>
      <c r="BR28" s="2">
        <v>5849785.9574916298</v>
      </c>
      <c r="BS28" s="2">
        <v>5606865.6410847101</v>
      </c>
      <c r="BT28" s="2">
        <v>5749504.2380488701</v>
      </c>
      <c r="BU28" s="2">
        <v>6746354.0820121597</v>
      </c>
      <c r="BV28" s="2">
        <v>5271330.7314041499</v>
      </c>
      <c r="BW28" s="2">
        <v>4898101.6543094702</v>
      </c>
      <c r="BX28" s="2">
        <v>4413043.0503599504</v>
      </c>
      <c r="BY28" s="2">
        <v>4052435.53721559</v>
      </c>
      <c r="BZ28" s="2">
        <v>6214134.1737069404</v>
      </c>
      <c r="CA28">
        <f t="shared" si="8"/>
        <v>-0.16894918658229036</v>
      </c>
      <c r="CB28">
        <f t="shared" si="9"/>
        <v>-0.14839200032350372</v>
      </c>
      <c r="CC28">
        <f t="shared" si="10"/>
        <v>-1.837145388110193E-2</v>
      </c>
      <c r="CD28">
        <f t="shared" si="11"/>
        <v>-0.2745325759746971</v>
      </c>
      <c r="CE28" s="3">
        <f t="shared" si="12"/>
        <v>1.6101326612297587E-2</v>
      </c>
      <c r="CF28" s="3">
        <f t="shared" si="13"/>
        <v>9.2244643406004939E-2</v>
      </c>
      <c r="CG28" s="3">
        <f t="shared" si="14"/>
        <v>0.61690294482898955</v>
      </c>
      <c r="CH28" s="3">
        <f t="shared" si="15"/>
        <v>2.2402031764760071E-2</v>
      </c>
      <c r="CI28" s="2">
        <v>3285431.1962737902</v>
      </c>
      <c r="CJ28" s="2">
        <v>3524558.05076002</v>
      </c>
      <c r="CK28" s="2">
        <v>3366874.1692034099</v>
      </c>
      <c r="CL28" s="2">
        <v>3557740.2129121199</v>
      </c>
      <c r="CM28" s="2">
        <v>5845157.1852687905</v>
      </c>
      <c r="CN28" s="2">
        <v>5456321.6638658103</v>
      </c>
      <c r="CO28" s="2">
        <v>5369732.2804481601</v>
      </c>
      <c r="CP28" s="2">
        <v>5826637.2013560003</v>
      </c>
      <c r="CQ28" s="2">
        <v>5772497.3164365301</v>
      </c>
      <c r="CR28" s="2">
        <v>5394581.5315610301</v>
      </c>
      <c r="CS28" s="2">
        <v>5608352.78070579</v>
      </c>
      <c r="CT28" s="2">
        <v>5712418.8651378602</v>
      </c>
      <c r="CU28" s="2">
        <v>211.129908365544</v>
      </c>
      <c r="CV28" s="2">
        <v>470.98801149442897</v>
      </c>
      <c r="CW28" s="2">
        <v>482.849546069567</v>
      </c>
      <c r="CX28" s="2">
        <v>234.07490301291901</v>
      </c>
      <c r="CY28" s="2">
        <v>232.62111174842201</v>
      </c>
      <c r="CZ28" s="1">
        <v>530.57991813016804</v>
      </c>
    </row>
    <row r="29" spans="1:104" x14ac:dyDescent="0.2">
      <c r="A29">
        <v>7292</v>
      </c>
      <c r="B29" s="2">
        <v>110</v>
      </c>
      <c r="C29" s="2" t="s">
        <v>8</v>
      </c>
      <c r="D29" s="2" t="s">
        <v>186</v>
      </c>
      <c r="E29" s="2" t="s">
        <v>185</v>
      </c>
      <c r="F29" s="2" t="s">
        <v>184</v>
      </c>
      <c r="G29" s="2" t="s">
        <v>183</v>
      </c>
      <c r="H29" s="2">
        <v>2</v>
      </c>
      <c r="I29" s="2" t="s">
        <v>182</v>
      </c>
      <c r="J29" s="2">
        <v>851.56939999999997</v>
      </c>
      <c r="K29" s="2">
        <v>851.56939999999997</v>
      </c>
      <c r="L29" s="2">
        <v>850.56102659999999</v>
      </c>
      <c r="M29" s="2">
        <v>3.9729999999999999</v>
      </c>
      <c r="N29" s="2">
        <v>3.97</v>
      </c>
      <c r="O29" s="2">
        <v>0.82932943388343439</v>
      </c>
      <c r="P29" s="5" t="s">
        <v>157</v>
      </c>
      <c r="Q29" s="2">
        <v>4.7869999999999999</v>
      </c>
      <c r="R29" s="2">
        <v>1</v>
      </c>
      <c r="S29" s="2" t="s">
        <v>2</v>
      </c>
      <c r="T29" s="2" t="s">
        <v>1</v>
      </c>
      <c r="U29">
        <f t="shared" si="0"/>
        <v>0.29417000107860375</v>
      </c>
      <c r="V29">
        <f t="shared" si="1"/>
        <v>0.17542700000873279</v>
      </c>
      <c r="W29">
        <f t="shared" si="2"/>
        <v>0.46685928175922264</v>
      </c>
      <c r="X29">
        <f t="shared" si="3"/>
        <v>0.15699248206610006</v>
      </c>
      <c r="Y29">
        <f t="shared" si="4"/>
        <v>7.1557521490749343E-2</v>
      </c>
      <c r="Z29">
        <f t="shared" si="5"/>
        <v>6.9500459014566321E-2</v>
      </c>
      <c r="AA29">
        <f t="shared" si="6"/>
        <v>6.2443355121020581E-2</v>
      </c>
      <c r="AB29">
        <f t="shared" si="7"/>
        <v>5.9555286061249213E-2</v>
      </c>
      <c r="AC29" s="2">
        <v>476967.673105294</v>
      </c>
      <c r="AD29" s="2">
        <v>504255.70574024098</v>
      </c>
      <c r="AE29" s="2">
        <v>474623.08362465003</v>
      </c>
      <c r="AF29" s="2">
        <v>381985.10264677397</v>
      </c>
      <c r="AG29" s="2">
        <v>391028.17360648199</v>
      </c>
      <c r="AH29" s="2">
        <v>581973.01910733001</v>
      </c>
      <c r="AI29" s="2">
        <v>449454.19655226503</v>
      </c>
      <c r="AJ29" s="2">
        <v>615892.109675374</v>
      </c>
      <c r="AK29" s="2">
        <v>592017.63038052397</v>
      </c>
      <c r="AL29" s="2">
        <v>448375.70548664598</v>
      </c>
      <c r="AM29" s="2">
        <v>752525.63459500996</v>
      </c>
      <c r="AN29" s="2">
        <v>439761.21609711403</v>
      </c>
      <c r="AO29" s="2">
        <v>526065.95019030303</v>
      </c>
      <c r="AP29" s="2">
        <v>535991.183012472</v>
      </c>
      <c r="AQ29" s="2">
        <v>574290.19217607402</v>
      </c>
      <c r="AR29" s="2">
        <v>659891.12950331694</v>
      </c>
      <c r="AS29" s="2">
        <v>655975.32620963699</v>
      </c>
      <c r="AT29" s="2">
        <v>478936.93403840897</v>
      </c>
      <c r="AU29" s="2">
        <v>668214.18008534901</v>
      </c>
      <c r="AV29" s="2">
        <v>410511.10042914102</v>
      </c>
      <c r="AW29" s="2">
        <v>529185.94725634402</v>
      </c>
      <c r="AX29" s="2">
        <v>569369.31817547604</v>
      </c>
      <c r="AY29" s="2">
        <v>465930.110043647</v>
      </c>
      <c r="AZ29" s="2">
        <v>466333.79532217898</v>
      </c>
      <c r="BA29" s="2">
        <v>601788.72284157295</v>
      </c>
      <c r="BB29" s="2">
        <v>638022.40753278905</v>
      </c>
      <c r="BC29" s="2">
        <v>624022.101985569</v>
      </c>
      <c r="BD29" s="2">
        <v>584199.49754534604</v>
      </c>
      <c r="BE29" s="2">
        <v>637828.31325123901</v>
      </c>
      <c r="BF29" s="2">
        <v>474592.17867274402</v>
      </c>
      <c r="BG29" s="2">
        <v>486969.008428075</v>
      </c>
      <c r="BH29" s="2">
        <v>545091.03250806697</v>
      </c>
      <c r="BI29" s="2">
        <v>419686.85127492598</v>
      </c>
      <c r="BJ29" s="2">
        <v>505484.444687674</v>
      </c>
      <c r="BK29" s="2">
        <v>393159.51288212399</v>
      </c>
      <c r="BL29" s="2">
        <v>533187.11900259403</v>
      </c>
      <c r="BM29" s="2">
        <v>546055.32846532296</v>
      </c>
      <c r="BN29" s="2">
        <v>505767.32804390398</v>
      </c>
      <c r="BO29" s="2">
        <v>524882.888940042</v>
      </c>
      <c r="BP29" s="2">
        <v>577041.71672233904</v>
      </c>
      <c r="BQ29" s="2">
        <v>560325.15272755898</v>
      </c>
      <c r="BR29" s="2">
        <v>655690.37222731498</v>
      </c>
      <c r="BS29" s="2">
        <v>630371.49179017905</v>
      </c>
      <c r="BT29" s="2">
        <v>456309.456468875</v>
      </c>
      <c r="BU29" s="2">
        <v>693682.94320752402</v>
      </c>
      <c r="BV29" s="2">
        <v>538728.16615243396</v>
      </c>
      <c r="BW29" s="2">
        <v>561177.68861627998</v>
      </c>
      <c r="BX29" s="2">
        <v>494939.595575054</v>
      </c>
      <c r="BY29" s="2">
        <v>466198.99265385198</v>
      </c>
      <c r="BZ29" s="2">
        <v>624243.25353502703</v>
      </c>
      <c r="CA29">
        <f t="shared" si="8"/>
        <v>-0.35776716866620722</v>
      </c>
      <c r="CB29">
        <f t="shared" si="9"/>
        <v>-0.22695520071309017</v>
      </c>
      <c r="CC29">
        <f t="shared" si="10"/>
        <v>1.4605162943955243E-2</v>
      </c>
      <c r="CD29">
        <f t="shared" si="11"/>
        <v>-0.21203963311025356</v>
      </c>
      <c r="CE29" s="3">
        <f t="shared" si="12"/>
        <v>1.9285049255365318E-2</v>
      </c>
      <c r="CF29" s="3">
        <f t="shared" si="13"/>
        <v>0.13922729555486793</v>
      </c>
      <c r="CG29" s="3">
        <f t="shared" si="14"/>
        <v>0.88828187192524133</v>
      </c>
      <c r="CH29" s="3">
        <f t="shared" si="15"/>
        <v>0.22185365129006349</v>
      </c>
      <c r="CI29" s="2">
        <v>425887.43909198599</v>
      </c>
      <c r="CJ29" s="2">
        <v>422640.465132349</v>
      </c>
      <c r="CK29" s="2">
        <v>432416.216881175</v>
      </c>
      <c r="CL29" s="2">
        <v>493098.37219980097</v>
      </c>
      <c r="CM29" s="2">
        <v>532453.22383908695</v>
      </c>
      <c r="CN29" s="2">
        <v>572946.00890955201</v>
      </c>
      <c r="CO29" s="2">
        <v>540002.72736032296</v>
      </c>
      <c r="CP29" s="2">
        <v>526530.72369808902</v>
      </c>
      <c r="CQ29" s="2">
        <v>555587.09560543601</v>
      </c>
      <c r="CR29" s="2">
        <v>528771.09989989095</v>
      </c>
      <c r="CS29" s="2">
        <v>545622.42430991598</v>
      </c>
      <c r="CT29" s="2">
        <v>554116.15831270802</v>
      </c>
      <c r="CU29" s="2">
        <v>190.704050174299</v>
      </c>
      <c r="CV29" s="2">
        <v>185.01158781962499</v>
      </c>
      <c r="CW29" s="2">
        <v>189.592764027756</v>
      </c>
      <c r="CX29" s="2">
        <v>208.455630069129</v>
      </c>
      <c r="CY29" s="2">
        <v>203.59851071568701</v>
      </c>
      <c r="CZ29" s="1">
        <v>202.75356335088799</v>
      </c>
    </row>
    <row r="30" spans="1:104" x14ac:dyDescent="0.2">
      <c r="A30">
        <v>7291</v>
      </c>
      <c r="B30" s="2">
        <v>109</v>
      </c>
      <c r="C30" s="2" t="s">
        <v>8</v>
      </c>
      <c r="D30" s="2" t="s">
        <v>181</v>
      </c>
      <c r="E30" s="2" t="s">
        <v>180</v>
      </c>
      <c r="F30" s="2" t="s">
        <v>179</v>
      </c>
      <c r="G30" s="2" t="s">
        <v>178</v>
      </c>
      <c r="H30" s="2">
        <v>2</v>
      </c>
      <c r="I30" s="2" t="s">
        <v>177</v>
      </c>
      <c r="J30" s="2">
        <v>883.63088000000005</v>
      </c>
      <c r="K30" s="2">
        <v>883.6309</v>
      </c>
      <c r="L30" s="2">
        <v>882.62250660000007</v>
      </c>
      <c r="M30" s="2">
        <v>5.9770000000000003</v>
      </c>
      <c r="N30" s="2">
        <v>5.98</v>
      </c>
      <c r="O30" s="2">
        <v>1.2492166283684982</v>
      </c>
      <c r="P30" s="5" t="s">
        <v>157</v>
      </c>
      <c r="Q30" s="2">
        <v>4.7869999999999999</v>
      </c>
      <c r="R30" s="2">
        <v>1</v>
      </c>
      <c r="S30" s="2" t="s">
        <v>2</v>
      </c>
      <c r="T30" s="2" t="s">
        <v>1</v>
      </c>
      <c r="U30">
        <f t="shared" si="0"/>
        <v>0.3139489093380684</v>
      </c>
      <c r="V30">
        <f t="shared" si="1"/>
        <v>0.70573730954926239</v>
      </c>
      <c r="W30">
        <f t="shared" si="2"/>
        <v>0.61914147423321964</v>
      </c>
      <c r="X30">
        <f t="shared" si="3"/>
        <v>0.42321548707722212</v>
      </c>
      <c r="Y30">
        <f t="shared" si="4"/>
        <v>2.4653425030297903E-2</v>
      </c>
      <c r="Z30">
        <f t="shared" si="5"/>
        <v>5.5955973599992482E-3</v>
      </c>
      <c r="AA30">
        <f t="shared" si="6"/>
        <v>2.5715519305508017E-2</v>
      </c>
      <c r="AB30">
        <f t="shared" si="7"/>
        <v>3.6569232118219372E-4</v>
      </c>
      <c r="AC30" s="2">
        <v>37427.078412567796</v>
      </c>
      <c r="AD30" s="2">
        <v>34614.957157202502</v>
      </c>
      <c r="AE30" s="2">
        <v>31425.792787091799</v>
      </c>
      <c r="AF30" s="2">
        <v>34473.069463606997</v>
      </c>
      <c r="AG30" s="2">
        <v>34607.167530675899</v>
      </c>
      <c r="AH30" s="2">
        <v>42921.481355258402</v>
      </c>
      <c r="AI30" s="2">
        <v>32932.571061360002</v>
      </c>
      <c r="AJ30" s="2">
        <v>46390.821399631299</v>
      </c>
      <c r="AK30" s="2">
        <v>51874.0741152431</v>
      </c>
      <c r="AL30" s="2">
        <v>43020.365335306204</v>
      </c>
      <c r="AM30" s="2">
        <v>75982.501022913697</v>
      </c>
      <c r="AN30" s="2">
        <v>39096.837803793802</v>
      </c>
      <c r="AO30" s="2">
        <v>56443.528401655902</v>
      </c>
      <c r="AP30" s="2">
        <v>65235.407112317203</v>
      </c>
      <c r="AQ30" s="2">
        <v>52932.812513243698</v>
      </c>
      <c r="AR30" s="2">
        <v>64075.3105586206</v>
      </c>
      <c r="AS30" s="2">
        <v>65632.421412139694</v>
      </c>
      <c r="AT30" s="2">
        <v>36996.5191973814</v>
      </c>
      <c r="AU30" s="2">
        <v>53155.255578780801</v>
      </c>
      <c r="AV30" s="2">
        <v>37821.217676749897</v>
      </c>
      <c r="AW30" s="2">
        <v>46405.196027456397</v>
      </c>
      <c r="AX30" s="2">
        <v>45730.697644599197</v>
      </c>
      <c r="AY30" s="2">
        <v>45427.611741316403</v>
      </c>
      <c r="AZ30" s="2">
        <v>47368.784821971298</v>
      </c>
      <c r="BA30" s="2">
        <v>56855.922574493401</v>
      </c>
      <c r="BB30" s="2">
        <v>53589.587755921602</v>
      </c>
      <c r="BC30" s="2">
        <v>46626.447875887097</v>
      </c>
      <c r="BD30" s="2">
        <v>50104.634999719303</v>
      </c>
      <c r="BE30" s="2">
        <v>49159.784990127002</v>
      </c>
      <c r="BF30" s="2">
        <v>41756.461034745502</v>
      </c>
      <c r="BG30" s="2">
        <v>37798.986490012903</v>
      </c>
      <c r="BH30" s="2">
        <v>44665.814742234303</v>
      </c>
      <c r="BI30" s="2">
        <v>37485.624779410202</v>
      </c>
      <c r="BJ30" s="2">
        <v>43581.967376266999</v>
      </c>
      <c r="BK30" s="2">
        <v>39707.048991009098</v>
      </c>
      <c r="BL30" s="2">
        <v>51856.846365333004</v>
      </c>
      <c r="BM30" s="2">
        <v>43521.176020907798</v>
      </c>
      <c r="BN30" s="2">
        <v>47699.5529163889</v>
      </c>
      <c r="BO30" s="2">
        <v>43730.640314199198</v>
      </c>
      <c r="BP30" s="2">
        <v>66868.309312627694</v>
      </c>
      <c r="BQ30" s="2">
        <v>49200.096953266002</v>
      </c>
      <c r="BR30" s="2">
        <v>39068.706990969498</v>
      </c>
      <c r="BS30" s="2">
        <v>40707.7200092723</v>
      </c>
      <c r="BT30" s="2">
        <v>35986.339714548201</v>
      </c>
      <c r="BU30" s="2">
        <v>58705.031091143297</v>
      </c>
      <c r="BV30" s="2">
        <v>55337.763909648398</v>
      </c>
      <c r="BW30" s="2">
        <v>64340.488557762597</v>
      </c>
      <c r="BX30" s="2">
        <v>57334.944321748801</v>
      </c>
      <c r="BY30" s="2">
        <v>48513.648867076197</v>
      </c>
      <c r="BZ30" s="2">
        <v>68084.807106344102</v>
      </c>
      <c r="CA30">
        <f t="shared" si="8"/>
        <v>-0.3080834613798763</v>
      </c>
      <c r="CB30">
        <f t="shared" si="9"/>
        <v>-4.3502861773703258E-2</v>
      </c>
      <c r="CC30">
        <f t="shared" si="10"/>
        <v>-0.27217618570091212</v>
      </c>
      <c r="CD30">
        <f t="shared" si="11"/>
        <v>0.22193609046840426</v>
      </c>
      <c r="CE30" s="3">
        <f t="shared" si="12"/>
        <v>1.4994291844478111E-2</v>
      </c>
      <c r="CF30" s="3">
        <f t="shared" si="13"/>
        <v>0.61393139664103236</v>
      </c>
      <c r="CG30" s="3">
        <f t="shared" si="14"/>
        <v>0.463974270315757</v>
      </c>
      <c r="CH30" s="3">
        <f t="shared" si="15"/>
        <v>2.9622784850775373E-2</v>
      </c>
      <c r="CI30" s="2">
        <v>20691.564543954999</v>
      </c>
      <c r="CJ30" s="2">
        <v>20823.126760470699</v>
      </c>
      <c r="CK30" s="2">
        <v>24958.650218395302</v>
      </c>
      <c r="CL30" s="2">
        <v>23739.195955499701</v>
      </c>
      <c r="CM30" s="2">
        <v>51532.736256857497</v>
      </c>
      <c r="CN30" s="2">
        <v>49033.530909445297</v>
      </c>
      <c r="CO30" s="2">
        <v>47374.678319757397</v>
      </c>
      <c r="CP30" s="2">
        <v>46459.244158568203</v>
      </c>
      <c r="CQ30" s="2">
        <v>47667.407259239502</v>
      </c>
      <c r="CR30" s="2">
        <v>48906.482696294697</v>
      </c>
      <c r="CS30" s="2">
        <v>50044.975831126299</v>
      </c>
      <c r="CT30" s="2">
        <v>49734.342799629601</v>
      </c>
      <c r="CU30" s="2">
        <v>228.30263917462599</v>
      </c>
      <c r="CV30" s="2">
        <v>222.77522772437101</v>
      </c>
      <c r="CW30" s="2">
        <v>234.70715499648699</v>
      </c>
      <c r="CX30" s="2">
        <v>249.629808654687</v>
      </c>
      <c r="CY30" s="2">
        <v>271.76707032881802</v>
      </c>
      <c r="CZ30" s="1">
        <v>267.71653370363299</v>
      </c>
    </row>
    <row r="31" spans="1:104" x14ac:dyDescent="0.2">
      <c r="A31">
        <v>7290</v>
      </c>
      <c r="B31" s="2">
        <v>107</v>
      </c>
      <c r="C31" s="2" t="s">
        <v>8</v>
      </c>
      <c r="D31" s="2" t="s">
        <v>176</v>
      </c>
      <c r="E31" s="2" t="s">
        <v>175</v>
      </c>
      <c r="F31" s="2" t="s">
        <v>174</v>
      </c>
      <c r="G31" s="2" t="s">
        <v>173</v>
      </c>
      <c r="H31" s="2">
        <v>2</v>
      </c>
      <c r="I31" s="2" t="s">
        <v>172</v>
      </c>
      <c r="J31" s="2">
        <v>879.60023999999999</v>
      </c>
      <c r="K31" s="2">
        <v>879.60019999999997</v>
      </c>
      <c r="L31" s="2">
        <v>878.5918666</v>
      </c>
      <c r="M31" s="2">
        <v>5.109</v>
      </c>
      <c r="N31" s="2">
        <v>5.1100000000000003</v>
      </c>
      <c r="O31" s="2">
        <v>1.0674744098600377</v>
      </c>
      <c r="P31" s="5" t="s">
        <v>157</v>
      </c>
      <c r="Q31" s="2">
        <v>4.7869999999999999</v>
      </c>
      <c r="R31" s="2">
        <v>1</v>
      </c>
      <c r="S31" s="2" t="s">
        <v>2</v>
      </c>
      <c r="T31" s="2" t="s">
        <v>1</v>
      </c>
      <c r="U31">
        <f t="shared" si="0"/>
        <v>0.16678859190463163</v>
      </c>
      <c r="V31">
        <f t="shared" si="1"/>
        <v>0.24024812395768871</v>
      </c>
      <c r="W31">
        <f t="shared" si="2"/>
        <v>0.55185205973407059</v>
      </c>
      <c r="X31">
        <f t="shared" si="3"/>
        <v>0.24776668896993842</v>
      </c>
      <c r="Y31">
        <f t="shared" si="4"/>
        <v>0.17088879005638952</v>
      </c>
      <c r="Z31">
        <f t="shared" si="5"/>
        <v>0.1513444027591383</v>
      </c>
      <c r="AA31">
        <f t="shared" si="6"/>
        <v>7.8211572382843025E-3</v>
      </c>
      <c r="AB31">
        <f t="shared" si="7"/>
        <v>1.3517656284819731E-2</v>
      </c>
      <c r="AC31" s="2">
        <v>753619.36331157701</v>
      </c>
      <c r="AD31" s="2">
        <v>793699.37347168103</v>
      </c>
      <c r="AE31" s="2">
        <v>685379.31550944201</v>
      </c>
      <c r="AF31" s="2">
        <v>738990.09057854803</v>
      </c>
      <c r="AG31" s="2">
        <v>829546.394696509</v>
      </c>
      <c r="AH31" s="2">
        <v>881636.34918986994</v>
      </c>
      <c r="AI31" s="2">
        <v>706911.72922765603</v>
      </c>
      <c r="AJ31" s="2">
        <v>845980.62679616304</v>
      </c>
      <c r="AK31" s="2">
        <v>961651.24774341995</v>
      </c>
      <c r="AL31" s="2">
        <v>780258.07341021299</v>
      </c>
      <c r="AM31" s="2">
        <v>1117223.60216281</v>
      </c>
      <c r="AN31" s="2">
        <v>677193.16712488094</v>
      </c>
      <c r="AO31" s="2">
        <v>802000.86117161799</v>
      </c>
      <c r="AP31" s="2">
        <v>922268.10567647801</v>
      </c>
      <c r="AQ31" s="2">
        <v>890172.02191832499</v>
      </c>
      <c r="AR31" s="2">
        <v>1236395.2351895799</v>
      </c>
      <c r="AS31" s="2">
        <v>1216026.26965461</v>
      </c>
      <c r="AT31" s="2">
        <v>819036.02740465105</v>
      </c>
      <c r="AU31" s="2">
        <v>1104780.68223646</v>
      </c>
      <c r="AV31" s="2">
        <v>926467.21589462599</v>
      </c>
      <c r="AW31" s="2">
        <v>826168.98075437697</v>
      </c>
      <c r="AX31" s="2">
        <v>894823.23792473297</v>
      </c>
      <c r="AY31" s="2">
        <v>832290.72307844704</v>
      </c>
      <c r="AZ31" s="2">
        <v>928808.20921450004</v>
      </c>
      <c r="BA31" s="2">
        <v>1035884.53829157</v>
      </c>
      <c r="BB31" s="2">
        <v>993248.99393494299</v>
      </c>
      <c r="BC31" s="2">
        <v>917864.73021533305</v>
      </c>
      <c r="BD31" s="2">
        <v>979969.24319850898</v>
      </c>
      <c r="BE31" s="2">
        <v>1103535.75076283</v>
      </c>
      <c r="BF31" s="2">
        <v>845104.93387403095</v>
      </c>
      <c r="BG31" s="2">
        <v>815079.80448733806</v>
      </c>
      <c r="BH31" s="2">
        <v>844483.59842798498</v>
      </c>
      <c r="BI31" s="2">
        <v>738497.62459561799</v>
      </c>
      <c r="BJ31" s="2">
        <v>847083.97963130695</v>
      </c>
      <c r="BK31" s="2">
        <v>742635.92234014103</v>
      </c>
      <c r="BL31" s="2">
        <v>868861.70590984204</v>
      </c>
      <c r="BM31" s="2">
        <v>950750.48135891405</v>
      </c>
      <c r="BN31" s="2">
        <v>838670.64811805403</v>
      </c>
      <c r="BO31" s="2">
        <v>853524.32472155197</v>
      </c>
      <c r="BP31" s="2">
        <v>1133074.51330276</v>
      </c>
      <c r="BQ31" s="2">
        <v>912585.06969660602</v>
      </c>
      <c r="BR31" s="2">
        <v>1061095.7199468201</v>
      </c>
      <c r="BS31" s="2">
        <v>1010401.73699917</v>
      </c>
      <c r="BT31" s="2">
        <v>818979.84042089304</v>
      </c>
      <c r="BU31" s="2">
        <v>1146363.2296905201</v>
      </c>
      <c r="BV31" s="2">
        <v>955254.91080733703</v>
      </c>
      <c r="BW31" s="2">
        <v>1074017.7009553399</v>
      </c>
      <c r="BX31" s="2">
        <v>824010.17856846098</v>
      </c>
      <c r="BY31" s="2">
        <v>797995.88981746498</v>
      </c>
      <c r="BZ31" s="2">
        <v>1244463.5340871699</v>
      </c>
      <c r="CA31">
        <f t="shared" si="8"/>
        <v>-0.26579514969468715</v>
      </c>
      <c r="CB31">
        <f t="shared" si="9"/>
        <v>-0.17360990436160961</v>
      </c>
      <c r="CC31">
        <f t="shared" si="10"/>
        <v>4.4120649022362568E-2</v>
      </c>
      <c r="CD31">
        <f t="shared" si="11"/>
        <v>-3.6850701009137316E-2</v>
      </c>
      <c r="CE31" s="3">
        <f t="shared" si="12"/>
        <v>8.4477060966081045E-3</v>
      </c>
      <c r="CF31" s="3">
        <f t="shared" si="13"/>
        <v>0.58989398643100122</v>
      </c>
      <c r="CG31" s="3">
        <f t="shared" si="14"/>
        <v>0.76643719016749579</v>
      </c>
      <c r="CH31" s="3">
        <f t="shared" si="15"/>
        <v>0.90725059099324024</v>
      </c>
      <c r="CI31" s="2">
        <v>484253.519138592</v>
      </c>
      <c r="CJ31" s="2">
        <v>502351.47246696701</v>
      </c>
      <c r="CK31" s="2">
        <v>591423.85581076494</v>
      </c>
      <c r="CL31" s="2">
        <v>542074.57305763196</v>
      </c>
      <c r="CM31" s="2">
        <v>926947.86783610005</v>
      </c>
      <c r="CN31" s="2">
        <v>932807.79041430505</v>
      </c>
      <c r="CO31" s="2">
        <v>990250.22891547903</v>
      </c>
      <c r="CP31" s="2">
        <v>922579.25607205601</v>
      </c>
      <c r="CQ31" s="2">
        <v>905835.76274760498</v>
      </c>
      <c r="CR31" s="2">
        <v>938459.25049064995</v>
      </c>
      <c r="CS31" s="2">
        <v>945568.23589591298</v>
      </c>
      <c r="CT31" s="2">
        <v>943704.13872443198</v>
      </c>
      <c r="CU31" s="2">
        <v>221.27087462490101</v>
      </c>
      <c r="CV31" s="2">
        <v>246.22662114900399</v>
      </c>
      <c r="CW31" s="2">
        <v>224.87504490751701</v>
      </c>
      <c r="CX31" s="2">
        <v>263.87528913723099</v>
      </c>
      <c r="CY31" s="2">
        <v>256.13846240156897</v>
      </c>
      <c r="CZ31" s="1">
        <v>272.88893414193302</v>
      </c>
    </row>
    <row r="32" spans="1:104" x14ac:dyDescent="0.2">
      <c r="A32">
        <v>7289</v>
      </c>
      <c r="B32" s="2">
        <v>106</v>
      </c>
      <c r="C32" s="2" t="s">
        <v>8</v>
      </c>
      <c r="D32" s="2" t="s">
        <v>171</v>
      </c>
      <c r="E32" s="2" t="s">
        <v>170</v>
      </c>
      <c r="F32" s="2" t="s">
        <v>169</v>
      </c>
      <c r="G32" s="2" t="s">
        <v>168</v>
      </c>
      <c r="H32" s="2">
        <v>2</v>
      </c>
      <c r="I32" s="2" t="s">
        <v>163</v>
      </c>
      <c r="J32" s="2">
        <v>877.58360000000005</v>
      </c>
      <c r="K32" s="2">
        <v>877.58360000000005</v>
      </c>
      <c r="L32" s="2">
        <v>876.57522660000006</v>
      </c>
      <c r="M32" s="2">
        <v>4.3360000000000003</v>
      </c>
      <c r="N32" s="2">
        <v>4.34</v>
      </c>
      <c r="O32" s="2">
        <v>0.90662210152496348</v>
      </c>
      <c r="P32" s="5" t="s">
        <v>157</v>
      </c>
      <c r="Q32" s="2">
        <v>4.7869999999999999</v>
      </c>
      <c r="R32" s="2">
        <v>1</v>
      </c>
      <c r="S32" s="2" t="s">
        <v>2</v>
      </c>
      <c r="T32" s="2" t="s">
        <v>1</v>
      </c>
      <c r="U32">
        <f t="shared" si="0"/>
        <v>0.14209083197836009</v>
      </c>
      <c r="V32">
        <f t="shared" si="1"/>
        <v>8.6795214666695431E-2</v>
      </c>
      <c r="W32">
        <f t="shared" si="2"/>
        <v>0.26245116757056719</v>
      </c>
      <c r="X32">
        <f t="shared" si="3"/>
        <v>-6.5307366604953815E-2</v>
      </c>
      <c r="Y32">
        <f t="shared" si="4"/>
        <v>0.2312715100005138</v>
      </c>
      <c r="Z32">
        <f t="shared" si="5"/>
        <v>0.43856754968899592</v>
      </c>
      <c r="AA32">
        <f t="shared" si="6"/>
        <v>0.45762838180653209</v>
      </c>
      <c r="AB32">
        <f t="shared" si="7"/>
        <v>0.93347865604579305</v>
      </c>
      <c r="AC32" s="2">
        <v>252248.33464463599</v>
      </c>
      <c r="AD32" s="2">
        <v>259195.42071534201</v>
      </c>
      <c r="AE32" s="2">
        <v>240362.92287749299</v>
      </c>
      <c r="AF32" s="2">
        <v>212770.46635747899</v>
      </c>
      <c r="AG32" s="2">
        <v>235906.31570750399</v>
      </c>
      <c r="AH32" s="2">
        <v>265241.25800339697</v>
      </c>
      <c r="AI32" s="2">
        <v>222933.176123871</v>
      </c>
      <c r="AJ32" s="2">
        <v>272856.56240795797</v>
      </c>
      <c r="AK32" s="2">
        <v>273294.09791630099</v>
      </c>
      <c r="AL32" s="2">
        <v>247045.531112931</v>
      </c>
      <c r="AM32" s="2">
        <v>285208.36150341999</v>
      </c>
      <c r="AN32" s="2">
        <v>208336.31182423999</v>
      </c>
      <c r="AO32" s="2">
        <v>254427.31019620999</v>
      </c>
      <c r="AP32" s="2">
        <v>257214.52133070899</v>
      </c>
      <c r="AQ32" s="2">
        <v>255267.44976591601</v>
      </c>
      <c r="AR32" s="2">
        <v>288318.92520951701</v>
      </c>
      <c r="AS32" s="2">
        <v>337081.08898354601</v>
      </c>
      <c r="AT32" s="2">
        <v>147379.045507259</v>
      </c>
      <c r="AU32" s="2">
        <v>290316.98451316502</v>
      </c>
      <c r="AV32" s="2">
        <v>265290.44761779701</v>
      </c>
      <c r="AW32" s="2">
        <v>228668.67300010601</v>
      </c>
      <c r="AX32" s="2">
        <v>281560.25216257002</v>
      </c>
      <c r="AY32" s="2">
        <v>229724.862483996</v>
      </c>
      <c r="AZ32" s="2">
        <v>237767.15968831099</v>
      </c>
      <c r="BA32" s="2">
        <v>228353.801108293</v>
      </c>
      <c r="BB32" s="2">
        <v>259154.206366503</v>
      </c>
      <c r="BC32" s="2">
        <v>251076.48966038</v>
      </c>
      <c r="BD32" s="2">
        <v>280840.69886885502</v>
      </c>
      <c r="BE32" s="2">
        <v>289378.47600891499</v>
      </c>
      <c r="BF32" s="2">
        <v>227714.34395970701</v>
      </c>
      <c r="BG32" s="2">
        <v>220040.563517345</v>
      </c>
      <c r="BH32" s="2">
        <v>226041.55917361</v>
      </c>
      <c r="BI32" s="2">
        <v>204075.37752802001</v>
      </c>
      <c r="BJ32" s="2">
        <v>240887.58623245099</v>
      </c>
      <c r="BK32" s="2">
        <v>204107.92877876601</v>
      </c>
      <c r="BL32" s="2">
        <v>230499.958879849</v>
      </c>
      <c r="BM32" s="2">
        <v>240441.99716919201</v>
      </c>
      <c r="BN32" s="2">
        <v>217937.42093902599</v>
      </c>
      <c r="BO32" s="2">
        <v>210335.468526593</v>
      </c>
      <c r="BP32" s="2">
        <v>282272.323210467</v>
      </c>
      <c r="BQ32" s="2">
        <v>286508.27643805899</v>
      </c>
      <c r="BR32" s="2">
        <v>252134.19292974501</v>
      </c>
      <c r="BS32" s="2">
        <v>255342.49529145</v>
      </c>
      <c r="BT32" s="2">
        <v>218395.450587509</v>
      </c>
      <c r="BU32" s="2">
        <v>275261.79175053502</v>
      </c>
      <c r="BV32" s="2">
        <v>238278.445424201</v>
      </c>
      <c r="BW32" s="2">
        <v>216765.57630528099</v>
      </c>
      <c r="BX32" s="2">
        <v>190856.33861367</v>
      </c>
      <c r="BY32" s="2">
        <v>169737.965275997</v>
      </c>
      <c r="BZ32" s="2">
        <v>256300.83911676501</v>
      </c>
      <c r="CA32">
        <f t="shared" si="8"/>
        <v>-0.23604130768862164</v>
      </c>
      <c r="CB32">
        <f t="shared" si="9"/>
        <v>-0.1690443172040027</v>
      </c>
      <c r="CC32">
        <f t="shared" si="10"/>
        <v>-2.1377152710459858E-2</v>
      </c>
      <c r="CD32">
        <f t="shared" si="11"/>
        <v>-0.25767514437239331</v>
      </c>
      <c r="CE32" s="3">
        <f t="shared" si="12"/>
        <v>1.1245021651724085E-2</v>
      </c>
      <c r="CF32" s="3">
        <f t="shared" si="13"/>
        <v>0.16787366462106348</v>
      </c>
      <c r="CG32" s="3">
        <f t="shared" si="14"/>
        <v>0.80413804925473564</v>
      </c>
      <c r="CH32" s="3">
        <f t="shared" si="15"/>
        <v>3.8405267388516316E-2</v>
      </c>
      <c r="CI32" s="2">
        <v>171676.54567528301</v>
      </c>
      <c r="CJ32" s="2">
        <v>177124.41325374501</v>
      </c>
      <c r="CK32" s="2">
        <v>179082.28949735101</v>
      </c>
      <c r="CL32" s="2">
        <v>187291.534572378</v>
      </c>
      <c r="CM32" s="2">
        <v>247243.050298302</v>
      </c>
      <c r="CN32" s="2">
        <v>245115.112407532</v>
      </c>
      <c r="CO32" s="2">
        <v>250347.664361214</v>
      </c>
      <c r="CP32" s="2">
        <v>237254.89177308301</v>
      </c>
      <c r="CQ32" s="2">
        <v>252474.60943804801</v>
      </c>
      <c r="CR32" s="2">
        <v>229683.665976777</v>
      </c>
      <c r="CS32" s="2">
        <v>247824.89425533</v>
      </c>
      <c r="CT32" s="2">
        <v>251889.16243260499</v>
      </c>
      <c r="CU32" s="2">
        <v>234.83629059307401</v>
      </c>
      <c r="CV32" s="2">
        <v>241.48492339414199</v>
      </c>
      <c r="CW32" s="2">
        <v>197.94964339005</v>
      </c>
      <c r="CX32" s="2">
        <v>245.16129218478099</v>
      </c>
      <c r="CY32" s="2">
        <v>227.73220565817201</v>
      </c>
      <c r="CZ32" s="1">
        <v>232.264950482757</v>
      </c>
    </row>
    <row r="33" spans="1:104" x14ac:dyDescent="0.2">
      <c r="A33">
        <v>7288</v>
      </c>
      <c r="B33" s="2">
        <v>105</v>
      </c>
      <c r="C33" s="2" t="s">
        <v>8</v>
      </c>
      <c r="D33" s="2" t="s">
        <v>167</v>
      </c>
      <c r="E33" s="2" t="s">
        <v>166</v>
      </c>
      <c r="F33" s="2" t="s">
        <v>165</v>
      </c>
      <c r="G33" s="2" t="s">
        <v>164</v>
      </c>
      <c r="H33" s="2">
        <v>2</v>
      </c>
      <c r="I33" s="2" t="s">
        <v>163</v>
      </c>
      <c r="J33" s="2">
        <v>877.58358999999996</v>
      </c>
      <c r="K33" s="2">
        <v>877.58360000000005</v>
      </c>
      <c r="L33" s="2">
        <v>876.57521659999998</v>
      </c>
      <c r="M33" s="2">
        <v>4.01</v>
      </c>
      <c r="N33" s="2">
        <v>4.01</v>
      </c>
      <c r="O33" s="2">
        <v>0.83768539795278874</v>
      </c>
      <c r="P33" s="5" t="s">
        <v>157</v>
      </c>
      <c r="Q33" s="2">
        <v>4.7869999999999999</v>
      </c>
      <c r="R33" s="2">
        <v>1</v>
      </c>
      <c r="S33" s="2" t="s">
        <v>2</v>
      </c>
      <c r="T33" s="2" t="s">
        <v>1</v>
      </c>
      <c r="U33">
        <f t="shared" si="0"/>
        <v>0.21264613312520622</v>
      </c>
      <c r="V33">
        <f t="shared" si="1"/>
        <v>0.13215360298844203</v>
      </c>
      <c r="W33">
        <f t="shared" si="2"/>
        <v>0.73270368043126</v>
      </c>
      <c r="X33">
        <f t="shared" si="3"/>
        <v>0.38377443578596349</v>
      </c>
      <c r="Y33">
        <f t="shared" si="4"/>
        <v>0.313901352340197</v>
      </c>
      <c r="Z33">
        <f t="shared" si="5"/>
        <v>0.51517242425714405</v>
      </c>
      <c r="AA33">
        <f t="shared" si="6"/>
        <v>1.9312207943241212E-2</v>
      </c>
      <c r="AB33">
        <f t="shared" si="7"/>
        <v>9.9255837647791341E-3</v>
      </c>
      <c r="AC33" s="2">
        <v>35933.071141182998</v>
      </c>
      <c r="AD33" s="2">
        <v>47941.455846049801</v>
      </c>
      <c r="AE33" s="2">
        <v>36024.492613938797</v>
      </c>
      <c r="AF33" s="2">
        <v>35633.532644144398</v>
      </c>
      <c r="AG33" s="2">
        <v>35774.085298767197</v>
      </c>
      <c r="AH33" s="2">
        <v>42765.320457609603</v>
      </c>
      <c r="AI33" s="2">
        <v>41639.662594052199</v>
      </c>
      <c r="AJ33" s="2">
        <v>40710.522390691403</v>
      </c>
      <c r="AK33" s="2">
        <v>44764.734934294604</v>
      </c>
      <c r="AL33" s="2">
        <v>36416.485594505597</v>
      </c>
      <c r="AM33" s="2">
        <v>54920.860028697702</v>
      </c>
      <c r="AN33" s="2">
        <v>31552.558588989501</v>
      </c>
      <c r="AO33" s="2">
        <v>38551.386522120898</v>
      </c>
      <c r="AP33" s="2">
        <v>42316.118529274201</v>
      </c>
      <c r="AQ33" s="2">
        <v>39380.0747139296</v>
      </c>
      <c r="AR33" s="2">
        <v>59711.7944838638</v>
      </c>
      <c r="AS33" s="2">
        <v>68561.287581809098</v>
      </c>
      <c r="AT33" s="2">
        <v>41790.4278336118</v>
      </c>
      <c r="AU33" s="2">
        <v>69707.189274172197</v>
      </c>
      <c r="AV33" s="2">
        <v>44403.289588905202</v>
      </c>
      <c r="AW33" s="2">
        <v>45133.361559451798</v>
      </c>
      <c r="AX33" s="2">
        <v>46883.708168060402</v>
      </c>
      <c r="AY33" s="2">
        <v>51043.0112809497</v>
      </c>
      <c r="AZ33" s="2">
        <v>46522.303251073703</v>
      </c>
      <c r="BA33" s="2">
        <v>57742.247469438596</v>
      </c>
      <c r="BB33" s="2">
        <v>58859.282709858897</v>
      </c>
      <c r="BC33" s="2">
        <v>57124.8119917406</v>
      </c>
      <c r="BD33" s="2">
        <v>71785.591131580601</v>
      </c>
      <c r="BE33" s="2">
        <v>62009.350862979598</v>
      </c>
      <c r="BF33" s="2">
        <v>53367.868565781602</v>
      </c>
      <c r="BG33" s="2">
        <v>54303.192654340797</v>
      </c>
      <c r="BH33" s="2">
        <v>62829.471115669301</v>
      </c>
      <c r="BI33" s="2">
        <v>42946.695984310099</v>
      </c>
      <c r="BJ33" s="2">
        <v>54729.848611747802</v>
      </c>
      <c r="BK33" s="2">
        <v>49702.004065949797</v>
      </c>
      <c r="BL33" s="2">
        <v>52683.223635676899</v>
      </c>
      <c r="BM33" s="2">
        <v>56453.071041593903</v>
      </c>
      <c r="BN33" s="2">
        <v>50134.503182111097</v>
      </c>
      <c r="BO33" s="2">
        <v>48547.394408813198</v>
      </c>
      <c r="BP33" s="2">
        <v>68983.473795956903</v>
      </c>
      <c r="BQ33" s="2">
        <v>77891.338367117205</v>
      </c>
      <c r="BR33" s="2">
        <v>71729.557884908805</v>
      </c>
      <c r="BS33" s="2">
        <v>73800.387042169401</v>
      </c>
      <c r="BT33" s="2">
        <v>57117.755666637197</v>
      </c>
      <c r="BU33" s="2">
        <v>74459.018920230199</v>
      </c>
      <c r="BV33" s="2">
        <v>64008.6770521453</v>
      </c>
      <c r="BW33" s="2">
        <v>58558.135032530103</v>
      </c>
      <c r="BX33" s="2">
        <v>49936.488139995199</v>
      </c>
      <c r="BY33" s="2">
        <v>45775.098681303098</v>
      </c>
      <c r="BZ33" s="2">
        <v>72695.761822652697</v>
      </c>
      <c r="CA33">
        <f t="shared" si="8"/>
        <v>-0.11623293987410098</v>
      </c>
      <c r="CB33">
        <f t="shared" si="9"/>
        <v>-0.15992633553135954</v>
      </c>
      <c r="CC33">
        <f t="shared" si="10"/>
        <v>0.32635842149649191</v>
      </c>
      <c r="CD33">
        <f t="shared" si="11"/>
        <v>-7.4003537405328617E-3</v>
      </c>
      <c r="CE33" s="3">
        <f t="shared" si="12"/>
        <v>0.12536762229268822</v>
      </c>
      <c r="CF33" s="3">
        <f t="shared" si="13"/>
        <v>0.3049435731387895</v>
      </c>
      <c r="CG33" s="3">
        <f t="shared" si="14"/>
        <v>6.1428992974620435E-2</v>
      </c>
      <c r="CH33" s="3">
        <f t="shared" si="15"/>
        <v>0.683138854843373</v>
      </c>
      <c r="CI33" s="2">
        <v>27790.745120775398</v>
      </c>
      <c r="CJ33" s="2">
        <v>27385.360173381901</v>
      </c>
      <c r="CK33" s="2">
        <v>31226.649551660899</v>
      </c>
      <c r="CL33" s="2">
        <v>31550.3882991992</v>
      </c>
      <c r="CM33" s="2">
        <v>58726.894142756799</v>
      </c>
      <c r="CN33" s="2">
        <v>51062.133986055997</v>
      </c>
      <c r="CO33" s="2">
        <v>48491.483444361998</v>
      </c>
      <c r="CP33" s="2">
        <v>51388.064525065303</v>
      </c>
      <c r="CQ33" s="2">
        <v>49194.411153357301</v>
      </c>
      <c r="CR33" s="2">
        <v>51398.971041928096</v>
      </c>
      <c r="CS33" s="2">
        <v>53625.770443475703</v>
      </c>
      <c r="CT33" s="2">
        <v>55309.113370835999</v>
      </c>
      <c r="CU33" s="2">
        <v>186.15548084412299</v>
      </c>
      <c r="CV33" s="2">
        <v>171.947743934849</v>
      </c>
      <c r="CW33" s="2">
        <v>181.58967986677899</v>
      </c>
      <c r="CX33" s="2">
        <v>195.50484130855301</v>
      </c>
      <c r="CY33" s="2">
        <v>192.296817975972</v>
      </c>
      <c r="CZ33" s="1">
        <v>187.38906940016599</v>
      </c>
    </row>
    <row r="34" spans="1:104" x14ac:dyDescent="0.2">
      <c r="A34">
        <v>7287</v>
      </c>
      <c r="B34" s="2">
        <v>104</v>
      </c>
      <c r="C34" s="2" t="s">
        <v>8</v>
      </c>
      <c r="D34" s="2" t="s">
        <v>162</v>
      </c>
      <c r="E34" s="2" t="s">
        <v>161</v>
      </c>
      <c r="F34" s="2" t="s">
        <v>160</v>
      </c>
      <c r="G34" s="2" t="s">
        <v>159</v>
      </c>
      <c r="H34" s="2">
        <v>2</v>
      </c>
      <c r="I34" s="2" t="s">
        <v>158</v>
      </c>
      <c r="J34" s="2">
        <v>875.56872999999996</v>
      </c>
      <c r="K34" s="2">
        <v>875.56870000000004</v>
      </c>
      <c r="L34" s="2">
        <v>874.56035659999998</v>
      </c>
      <c r="M34" s="2">
        <v>3.8149999999999999</v>
      </c>
      <c r="N34" s="2">
        <v>3.82</v>
      </c>
      <c r="O34" s="2">
        <v>0.79799456862335494</v>
      </c>
      <c r="P34" s="5" t="s">
        <v>157</v>
      </c>
      <c r="Q34" s="2">
        <v>4.7869999999999999</v>
      </c>
      <c r="R34" s="2">
        <v>1</v>
      </c>
      <c r="S34" s="2" t="s">
        <v>2</v>
      </c>
      <c r="T34" s="2" t="s">
        <v>1</v>
      </c>
      <c r="U34">
        <f t="shared" si="0"/>
        <v>0.19416959248844756</v>
      </c>
      <c r="V34">
        <f t="shared" si="1"/>
        <v>0.15113993087821007</v>
      </c>
      <c r="W34">
        <f t="shared" si="2"/>
        <v>0.69827635643819908</v>
      </c>
      <c r="X34">
        <f t="shared" si="3"/>
        <v>0.22305438784166134</v>
      </c>
      <c r="Y34">
        <f t="shared" si="4"/>
        <v>0.21141552636283256</v>
      </c>
      <c r="Z34">
        <f t="shared" si="5"/>
        <v>0.23451483541324272</v>
      </c>
      <c r="AA34">
        <f t="shared" si="6"/>
        <v>1.7726192853287075E-2</v>
      </c>
      <c r="AB34">
        <f t="shared" si="7"/>
        <v>7.2846480198891284E-2</v>
      </c>
      <c r="AC34" s="2">
        <v>225179.35868178599</v>
      </c>
      <c r="AD34" s="2">
        <v>266678.29907968501</v>
      </c>
      <c r="AE34" s="2">
        <v>217457.396485465</v>
      </c>
      <c r="AF34" s="2">
        <v>212191.07627273299</v>
      </c>
      <c r="AG34" s="2">
        <v>217226.965603338</v>
      </c>
      <c r="AH34" s="2">
        <v>248785.494843736</v>
      </c>
      <c r="AI34" s="2">
        <v>214770.602385693</v>
      </c>
      <c r="AJ34" s="2">
        <v>280384.25578674901</v>
      </c>
      <c r="AK34" s="2">
        <v>289293.92183260299</v>
      </c>
      <c r="AL34" s="2">
        <v>225704.033688367</v>
      </c>
      <c r="AM34" s="2">
        <v>369157.73441992502</v>
      </c>
      <c r="AN34" s="2">
        <v>206497.21884941799</v>
      </c>
      <c r="AO34" s="2">
        <v>234830.88167787099</v>
      </c>
      <c r="AP34" s="2">
        <v>241474.81213427201</v>
      </c>
      <c r="AQ34" s="2">
        <v>279133.65597961098</v>
      </c>
      <c r="AR34" s="2">
        <v>358527.546340217</v>
      </c>
      <c r="AS34" s="2">
        <v>368424.42265801999</v>
      </c>
      <c r="AT34" s="2">
        <v>241143.45615749201</v>
      </c>
      <c r="AU34" s="2">
        <v>352838.78074252402</v>
      </c>
      <c r="AV34" s="2">
        <v>254711.679377947</v>
      </c>
      <c r="AW34" s="2">
        <v>253816.73050885799</v>
      </c>
      <c r="AX34" s="2">
        <v>282443.08414034499</v>
      </c>
      <c r="AY34" s="2">
        <v>232633.27997244601</v>
      </c>
      <c r="AZ34" s="2">
        <v>237891.19136490501</v>
      </c>
      <c r="BA34" s="2">
        <v>295613.16499883699</v>
      </c>
      <c r="BB34" s="2">
        <v>300344.61637939402</v>
      </c>
      <c r="BC34" s="2">
        <v>306262.42213932</v>
      </c>
      <c r="BD34" s="2">
        <v>299386.432223643</v>
      </c>
      <c r="BE34" s="2">
        <v>345866.69898458302</v>
      </c>
      <c r="BF34" s="2">
        <v>253596.20801992301</v>
      </c>
      <c r="BG34" s="2">
        <v>239151.37282646901</v>
      </c>
      <c r="BH34" s="2">
        <v>254067.103344414</v>
      </c>
      <c r="BI34" s="2">
        <v>205720.266548485</v>
      </c>
      <c r="BJ34" s="2">
        <v>272940.774478729</v>
      </c>
      <c r="BK34" s="2">
        <v>204413.96042043401</v>
      </c>
      <c r="BL34" s="2">
        <v>255129.78663280001</v>
      </c>
      <c r="BM34" s="2">
        <v>275552.64157112601</v>
      </c>
      <c r="BN34" s="2">
        <v>233745.79216978</v>
      </c>
      <c r="BO34" s="2">
        <v>246211.09851488701</v>
      </c>
      <c r="BP34" s="2">
        <v>310275.47701577097</v>
      </c>
      <c r="BQ34" s="2">
        <v>285130.10034467099</v>
      </c>
      <c r="BR34" s="2">
        <v>330071.45155016199</v>
      </c>
      <c r="BS34" s="2">
        <v>319727.080408026</v>
      </c>
      <c r="BT34" s="2">
        <v>229311.61382078301</v>
      </c>
      <c r="BU34" s="2">
        <v>366210.94368858001</v>
      </c>
      <c r="BV34" s="2">
        <v>238431.234906553</v>
      </c>
      <c r="BW34" s="2">
        <v>268245.82599568198</v>
      </c>
      <c r="BX34" s="2">
        <v>219091.76592045699</v>
      </c>
      <c r="BY34" s="2">
        <v>197616.911811072</v>
      </c>
      <c r="BZ34" s="2">
        <v>322617.95493904699</v>
      </c>
      <c r="CA34">
        <f t="shared" si="8"/>
        <v>-0.32869473105338648</v>
      </c>
      <c r="CB34">
        <f t="shared" si="9"/>
        <v>-0.2353874593381389</v>
      </c>
      <c r="CC34">
        <f t="shared" si="10"/>
        <v>9.022213935748051E-2</v>
      </c>
      <c r="CD34">
        <f t="shared" si="11"/>
        <v>-0.33304556031899124</v>
      </c>
      <c r="CE34" s="3">
        <f t="shared" si="12"/>
        <v>1.0672037301788929E-2</v>
      </c>
      <c r="CF34" s="3">
        <f t="shared" si="13"/>
        <v>9.9947773861243774E-2</v>
      </c>
      <c r="CG34" s="3">
        <f t="shared" si="14"/>
        <v>0.85970582534183548</v>
      </c>
      <c r="CH34" s="3">
        <f t="shared" si="15"/>
        <v>8.2961235055959814E-2</v>
      </c>
      <c r="CI34" s="2">
        <v>163300.927595171</v>
      </c>
      <c r="CJ34" s="2">
        <v>177174.44025235801</v>
      </c>
      <c r="CK34" s="2">
        <v>183636.148025142</v>
      </c>
      <c r="CL34" s="2">
        <v>189481.827579556</v>
      </c>
      <c r="CM34" s="2">
        <v>270881.535568283</v>
      </c>
      <c r="CN34" s="2">
        <v>263696.056997001</v>
      </c>
      <c r="CO34" s="2">
        <v>285323.19107858202</v>
      </c>
      <c r="CP34" s="2">
        <v>272588.60100570798</v>
      </c>
      <c r="CQ34" s="2">
        <v>275119.423186631</v>
      </c>
      <c r="CR34" s="2">
        <v>272023.74817495898</v>
      </c>
      <c r="CS34" s="2">
        <v>271359.91559831402</v>
      </c>
      <c r="CT34" s="2">
        <v>270807.317302196</v>
      </c>
      <c r="CU34" s="2">
        <v>184.62344253904701</v>
      </c>
      <c r="CV34" s="2">
        <v>184.11849246397401</v>
      </c>
      <c r="CW34" s="2">
        <v>196.42148245424099</v>
      </c>
      <c r="CX34" s="2">
        <v>205.96480882343701</v>
      </c>
      <c r="CY34" s="2">
        <v>189.688656431857</v>
      </c>
      <c r="CZ34" s="1">
        <v>186.50231301637601</v>
      </c>
    </row>
    <row r="35" spans="1:104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5"/>
      <c r="Q35" s="2"/>
      <c r="R35" s="2"/>
      <c r="S35" s="2"/>
      <c r="T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E35" s="3"/>
      <c r="CF35" s="3"/>
      <c r="CG35" s="3"/>
      <c r="CH35" s="3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1"/>
    </row>
    <row r="36" spans="1:104" x14ac:dyDescent="0.2">
      <c r="A36">
        <v>7318</v>
      </c>
      <c r="B36" s="2">
        <v>144</v>
      </c>
      <c r="C36" s="2" t="s">
        <v>8</v>
      </c>
      <c r="D36" s="2" t="s">
        <v>305</v>
      </c>
      <c r="E36" s="2" t="s">
        <v>304</v>
      </c>
      <c r="F36" s="2" t="s">
        <v>303</v>
      </c>
      <c r="G36" s="2" t="s">
        <v>302</v>
      </c>
      <c r="H36" s="2">
        <v>2</v>
      </c>
      <c r="I36" s="2" t="s">
        <v>301</v>
      </c>
      <c r="J36" s="2">
        <v>751.53638000000001</v>
      </c>
      <c r="K36" s="2">
        <v>751.53639999999996</v>
      </c>
      <c r="L36" s="2">
        <v>750.52800660000003</v>
      </c>
      <c r="M36" s="2">
        <v>4.3520000000000003</v>
      </c>
      <c r="N36" s="2">
        <v>4.3499999999999996</v>
      </c>
      <c r="O36" s="2">
        <v>0.90871109254230198</v>
      </c>
      <c r="P36" s="5" t="s">
        <v>157</v>
      </c>
      <c r="Q36" s="2">
        <v>4.7869999999999999</v>
      </c>
      <c r="R36" s="2">
        <v>1</v>
      </c>
      <c r="S36" s="2" t="s">
        <v>2</v>
      </c>
      <c r="T36" s="2" t="s">
        <v>1</v>
      </c>
      <c r="AC36" s="2">
        <f>(AC3/AC$2)*2.00695</f>
        <v>0.18544974819249971</v>
      </c>
      <c r="AD36" s="2">
        <f t="shared" ref="AD36:BZ41" si="16">(AD3/AD$2)*2.00695</f>
        <v>0.16782804529482576</v>
      </c>
      <c r="AE36" s="2">
        <f t="shared" si="16"/>
        <v>0.1961706403062205</v>
      </c>
      <c r="AF36" s="2">
        <f t="shared" si="16"/>
        <v>0.24549873587414639</v>
      </c>
      <c r="AG36" s="2">
        <f t="shared" si="16"/>
        <v>0.17780591390821324</v>
      </c>
      <c r="AH36" s="2">
        <f t="shared" si="16"/>
        <v>0.22638257533762235</v>
      </c>
      <c r="AI36" s="2">
        <f t="shared" si="16"/>
        <v>0.20737308189415926</v>
      </c>
      <c r="AJ36" s="2">
        <f t="shared" si="16"/>
        <v>0.19521026903124047</v>
      </c>
      <c r="AK36" s="2">
        <f t="shared" si="16"/>
        <v>0.21487248250145261</v>
      </c>
      <c r="AL36" s="2">
        <f t="shared" si="16"/>
        <v>0.2035941184378848</v>
      </c>
      <c r="AM36" s="2">
        <f t="shared" si="16"/>
        <v>0.42674407295514821</v>
      </c>
      <c r="AN36" s="2">
        <f t="shared" si="16"/>
        <v>0.16712336572349587</v>
      </c>
      <c r="AO36" s="2">
        <f t="shared" si="16"/>
        <v>0.17908645436277518</v>
      </c>
      <c r="AP36" s="2">
        <f t="shared" si="16"/>
        <v>0.21828178775350246</v>
      </c>
      <c r="AQ36" s="2">
        <f t="shared" si="16"/>
        <v>0.20217465950184008</v>
      </c>
      <c r="AR36" s="2">
        <f t="shared" si="16"/>
        <v>0.17944745603706766</v>
      </c>
      <c r="AS36" s="2">
        <f t="shared" si="16"/>
        <v>0.27788276546679697</v>
      </c>
      <c r="AT36" s="2">
        <f t="shared" si="16"/>
        <v>8.8590162070849812E-2</v>
      </c>
      <c r="AU36" s="2">
        <f t="shared" si="16"/>
        <v>0.19918261970845133</v>
      </c>
      <c r="AV36" s="2">
        <f t="shared" si="16"/>
        <v>0.21367120186705821</v>
      </c>
      <c r="AW36" s="2">
        <f t="shared" si="16"/>
        <v>0.2233875285930029</v>
      </c>
      <c r="AX36" s="2">
        <f t="shared" si="16"/>
        <v>0.22685322118343326</v>
      </c>
      <c r="AY36" s="2">
        <f t="shared" si="16"/>
        <v>0.20225054177118806</v>
      </c>
      <c r="AZ36" s="2">
        <f t="shared" si="16"/>
        <v>0.17665803824008594</v>
      </c>
      <c r="BA36" s="2">
        <f t="shared" si="16"/>
        <v>0.18318228308162415</v>
      </c>
      <c r="BB36" s="2">
        <f t="shared" si="16"/>
        <v>0.22643720878267623</v>
      </c>
      <c r="BC36" s="2">
        <f t="shared" si="16"/>
        <v>0.19105176165779356</v>
      </c>
      <c r="BD36" s="2">
        <f t="shared" si="16"/>
        <v>0.27716526092063359</v>
      </c>
      <c r="BE36" s="2">
        <f t="shared" si="16"/>
        <v>0.24914488048423347</v>
      </c>
      <c r="BF36" s="2">
        <f t="shared" si="16"/>
        <v>0.17169668140303818</v>
      </c>
      <c r="BG36" s="2">
        <f t="shared" si="16"/>
        <v>0.18665099710735492</v>
      </c>
      <c r="BH36" s="2">
        <f t="shared" si="16"/>
        <v>0.16454952126792924</v>
      </c>
      <c r="BI36" s="2">
        <f t="shared" si="16"/>
        <v>0.19014100086255237</v>
      </c>
      <c r="BJ36" s="2">
        <f t="shared" si="16"/>
        <v>0.19719782999106863</v>
      </c>
      <c r="BK36" s="2">
        <f t="shared" si="16"/>
        <v>0.17733346684318238</v>
      </c>
      <c r="BL36" s="2">
        <f t="shared" si="16"/>
        <v>0.22458592809915401</v>
      </c>
      <c r="BM36" s="2">
        <f t="shared" si="16"/>
        <v>0.18496261648970455</v>
      </c>
      <c r="BN36" s="2">
        <f t="shared" si="16"/>
        <v>0.15912422648946134</v>
      </c>
      <c r="BO36" s="2">
        <f t="shared" si="16"/>
        <v>0.17455163093476894</v>
      </c>
      <c r="BP36" s="2">
        <f t="shared" si="16"/>
        <v>0.23519247932570692</v>
      </c>
      <c r="BQ36" s="2">
        <f t="shared" si="16"/>
        <v>0.26546957661299919</v>
      </c>
      <c r="BR36" s="2">
        <f t="shared" si="16"/>
        <v>0.21042203535817372</v>
      </c>
      <c r="BS36" s="2">
        <f t="shared" si="16"/>
        <v>0.20011392384842719</v>
      </c>
      <c r="BT36" s="2">
        <f t="shared" si="16"/>
        <v>0.17698918325780238</v>
      </c>
      <c r="BU36" s="2">
        <f t="shared" si="16"/>
        <v>0.25039091242999778</v>
      </c>
      <c r="BV36" s="2">
        <f t="shared" si="16"/>
        <v>0.2067416155398463</v>
      </c>
      <c r="BW36" s="2">
        <f t="shared" si="16"/>
        <v>0.19366098321180111</v>
      </c>
      <c r="BX36" s="2">
        <f t="shared" si="16"/>
        <v>0.17803012918126895</v>
      </c>
      <c r="BY36" s="2">
        <f t="shared" si="16"/>
        <v>0.16915086278313016</v>
      </c>
      <c r="BZ36" s="2">
        <f t="shared" si="16"/>
        <v>0.25281784569969784</v>
      </c>
      <c r="CE36" s="3"/>
      <c r="CF36" s="3"/>
      <c r="CG36" s="3"/>
      <c r="CH36" s="3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1"/>
    </row>
    <row r="37" spans="1:104" x14ac:dyDescent="0.2">
      <c r="A37">
        <v>7317</v>
      </c>
      <c r="B37" s="2">
        <v>142</v>
      </c>
      <c r="C37" s="2" t="s">
        <v>8</v>
      </c>
      <c r="D37" s="2" t="s">
        <v>300</v>
      </c>
      <c r="E37" s="2" t="s">
        <v>299</v>
      </c>
      <c r="F37" s="2" t="s">
        <v>298</v>
      </c>
      <c r="G37" s="2" t="s">
        <v>297</v>
      </c>
      <c r="H37" s="2">
        <v>2</v>
      </c>
      <c r="I37" s="2" t="s">
        <v>296</v>
      </c>
      <c r="J37" s="2">
        <v>779.56831</v>
      </c>
      <c r="K37" s="2">
        <v>779.56830000000002</v>
      </c>
      <c r="L37" s="2">
        <v>778.55993660000001</v>
      </c>
      <c r="M37" s="2">
        <v>5.1710000000000003</v>
      </c>
      <c r="N37" s="2">
        <v>5.17</v>
      </c>
      <c r="O37" s="2">
        <v>1.0800083559640694</v>
      </c>
      <c r="P37" s="5" t="s">
        <v>157</v>
      </c>
      <c r="Q37" s="2">
        <v>4.7869999999999999</v>
      </c>
      <c r="R37" s="2">
        <v>1</v>
      </c>
      <c r="S37" s="2" t="s">
        <v>2</v>
      </c>
      <c r="T37" s="2" t="s">
        <v>1</v>
      </c>
      <c r="AC37" s="2">
        <f t="shared" ref="AC37:AR67" si="17">(AC4/AC$2)*2.00695</f>
        <v>1.836441451978742</v>
      </c>
      <c r="AD37" s="2">
        <f t="shared" si="17"/>
        <v>2.1065728875335803</v>
      </c>
      <c r="AE37" s="2">
        <f t="shared" si="17"/>
        <v>1.8487293260963196</v>
      </c>
      <c r="AF37" s="2">
        <f t="shared" si="17"/>
        <v>2.0971506364767247</v>
      </c>
      <c r="AG37" s="2">
        <f t="shared" si="17"/>
        <v>2.0281334537892457</v>
      </c>
      <c r="AH37" s="2">
        <f t="shared" si="17"/>
        <v>2.033920140495471</v>
      </c>
      <c r="AI37" s="2">
        <f t="shared" si="17"/>
        <v>2.318800067009867</v>
      </c>
      <c r="AJ37" s="2">
        <f t="shared" si="17"/>
        <v>2.1913199553949747</v>
      </c>
      <c r="AK37" s="2">
        <f t="shared" si="17"/>
        <v>2.7030682723239217</v>
      </c>
      <c r="AL37" s="2">
        <f t="shared" si="17"/>
        <v>2.1489174013196473</v>
      </c>
      <c r="AM37" s="2">
        <f t="shared" si="17"/>
        <v>3.5324005672540899</v>
      </c>
      <c r="AN37" s="2">
        <f t="shared" si="17"/>
        <v>1.5862600402446052</v>
      </c>
      <c r="AO37" s="2">
        <f t="shared" si="17"/>
        <v>2.1573290656729669</v>
      </c>
      <c r="AP37" s="2">
        <f t="shared" si="17"/>
        <v>2.1830238046784105</v>
      </c>
      <c r="AQ37" s="2">
        <f t="shared" si="17"/>
        <v>2.3337741068336832</v>
      </c>
      <c r="AR37" s="2">
        <f t="shared" si="17"/>
        <v>2.3275449192649358</v>
      </c>
      <c r="AS37" s="2">
        <f t="shared" si="16"/>
        <v>2.966076946525519</v>
      </c>
      <c r="AT37" s="2">
        <f t="shared" si="16"/>
        <v>1.3122711541487544</v>
      </c>
      <c r="AU37" s="2">
        <f t="shared" si="16"/>
        <v>2.1490695779266469</v>
      </c>
      <c r="AV37" s="2">
        <f t="shared" si="16"/>
        <v>1.8325746715499602</v>
      </c>
      <c r="AW37" s="2">
        <f t="shared" si="16"/>
        <v>1.9526710355974917</v>
      </c>
      <c r="AX37" s="2">
        <f t="shared" si="16"/>
        <v>2.6905220704660402</v>
      </c>
      <c r="AY37" s="2">
        <f t="shared" si="16"/>
        <v>1.9094299443637011</v>
      </c>
      <c r="AZ37" s="2">
        <f t="shared" si="16"/>
        <v>1.7499365266298925</v>
      </c>
      <c r="BA37" s="2">
        <f t="shared" si="16"/>
        <v>2.0840899232334991</v>
      </c>
      <c r="BB37" s="2">
        <f t="shared" si="16"/>
        <v>2.5069005380635718</v>
      </c>
      <c r="BC37" s="2">
        <f t="shared" si="16"/>
        <v>2.6230651114176844</v>
      </c>
      <c r="BD37" s="2">
        <f t="shared" si="16"/>
        <v>3.2201606308289201</v>
      </c>
      <c r="BE37" s="2">
        <f t="shared" si="16"/>
        <v>3.1450585992722733</v>
      </c>
      <c r="BF37" s="2">
        <f t="shared" si="16"/>
        <v>2.1311002850167475</v>
      </c>
      <c r="BG37" s="2">
        <f t="shared" si="16"/>
        <v>1.9734679988463921</v>
      </c>
      <c r="BH37" s="2">
        <f t="shared" si="16"/>
        <v>2.3675439422153608</v>
      </c>
      <c r="BI37" s="2">
        <f t="shared" si="16"/>
        <v>2.1978249410999999</v>
      </c>
      <c r="BJ37" s="2">
        <f t="shared" si="16"/>
        <v>2.0260158032070921</v>
      </c>
      <c r="BK37" s="2">
        <f t="shared" si="16"/>
        <v>1.9310129620632608</v>
      </c>
      <c r="BL37" s="2">
        <f t="shared" si="16"/>
        <v>2.435319375843668</v>
      </c>
      <c r="BM37" s="2">
        <f t="shared" si="16"/>
        <v>2.3247962239429336</v>
      </c>
      <c r="BN37" s="2">
        <f t="shared" si="16"/>
        <v>2.1621315866219848</v>
      </c>
      <c r="BO37" s="2">
        <f t="shared" si="16"/>
        <v>1.8891300898907444</v>
      </c>
      <c r="BP37" s="2">
        <f t="shared" si="16"/>
        <v>2.9270409135333053</v>
      </c>
      <c r="BQ37" s="2">
        <f t="shared" si="16"/>
        <v>2.8739896401196736</v>
      </c>
      <c r="BR37" s="2">
        <f t="shared" si="16"/>
        <v>2.272307448073716</v>
      </c>
      <c r="BS37" s="2">
        <f t="shared" si="16"/>
        <v>2.1196855958373133</v>
      </c>
      <c r="BT37" s="2">
        <f t="shared" si="16"/>
        <v>1.9257488912346723</v>
      </c>
      <c r="BU37" s="2">
        <f t="shared" si="16"/>
        <v>3.0128846090144594</v>
      </c>
      <c r="BV37" s="2">
        <f t="shared" si="16"/>
        <v>2.0656994021726942</v>
      </c>
      <c r="BW37" s="2">
        <f t="shared" si="16"/>
        <v>2.1237947883133637</v>
      </c>
      <c r="BX37" s="2">
        <f t="shared" si="16"/>
        <v>1.7829028749965823</v>
      </c>
      <c r="BY37" s="2">
        <f t="shared" si="16"/>
        <v>1.6781658859579671</v>
      </c>
      <c r="BZ37" s="2">
        <f t="shared" si="16"/>
        <v>2.439111783161628</v>
      </c>
      <c r="CE37" s="3"/>
      <c r="CF37" s="3"/>
      <c r="CG37" s="3"/>
      <c r="CH37" s="3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1"/>
    </row>
    <row r="38" spans="1:104" x14ac:dyDescent="0.2">
      <c r="A38">
        <v>7316</v>
      </c>
      <c r="B38" s="2">
        <v>141</v>
      </c>
      <c r="C38" s="2" t="s">
        <v>8</v>
      </c>
      <c r="D38" s="2" t="s">
        <v>295</v>
      </c>
      <c r="E38" s="2" t="s">
        <v>294</v>
      </c>
      <c r="F38" s="2" t="s">
        <v>293</v>
      </c>
      <c r="G38" s="2" t="s">
        <v>293</v>
      </c>
      <c r="H38" s="2">
        <v>2</v>
      </c>
      <c r="I38" s="2" t="s">
        <v>292</v>
      </c>
      <c r="J38" s="2">
        <v>777.55232000000001</v>
      </c>
      <c r="K38" s="2">
        <v>777.55229999999995</v>
      </c>
      <c r="L38" s="2">
        <v>776.54394660000003</v>
      </c>
      <c r="M38" s="2">
        <v>4.4279999999999999</v>
      </c>
      <c r="N38" s="2">
        <v>4.43</v>
      </c>
      <c r="O38" s="2">
        <v>0.92542302068101101</v>
      </c>
      <c r="P38" s="5" t="s">
        <v>157</v>
      </c>
      <c r="Q38" s="2">
        <v>4.7869999999999999</v>
      </c>
      <c r="R38" s="2">
        <v>1</v>
      </c>
      <c r="S38" s="2" t="s">
        <v>2</v>
      </c>
      <c r="T38" s="2" t="s">
        <v>1</v>
      </c>
      <c r="AC38" s="2">
        <f t="shared" si="17"/>
        <v>0.47815792814729313</v>
      </c>
      <c r="AD38" s="2">
        <f t="shared" si="16"/>
        <v>0.69282632951985179</v>
      </c>
      <c r="AE38" s="2">
        <f t="shared" si="16"/>
        <v>0.55487106645953721</v>
      </c>
      <c r="AF38" s="2">
        <f t="shared" si="16"/>
        <v>0.69769476275974518</v>
      </c>
      <c r="AG38" s="2">
        <f t="shared" si="16"/>
        <v>0.48670820128349007</v>
      </c>
      <c r="AH38" s="2">
        <f t="shared" si="16"/>
        <v>0.50826030146583911</v>
      </c>
      <c r="AI38" s="2">
        <f t="shared" si="16"/>
        <v>0.63686754275860358</v>
      </c>
      <c r="AJ38" s="2">
        <f t="shared" si="16"/>
        <v>0.56408296239089306</v>
      </c>
      <c r="AK38" s="2">
        <f t="shared" si="16"/>
        <v>0.7195764986590486</v>
      </c>
      <c r="AL38" s="2">
        <f t="shared" si="16"/>
        <v>0.74357948302071075</v>
      </c>
      <c r="AM38" s="2">
        <f t="shared" si="16"/>
        <v>1.4037806056971587</v>
      </c>
      <c r="AN38" s="2">
        <f t="shared" si="16"/>
        <v>0.58511757181159196</v>
      </c>
      <c r="AO38" s="2">
        <f t="shared" si="16"/>
        <v>0.31820538197011755</v>
      </c>
      <c r="AP38" s="2">
        <f t="shared" si="16"/>
        <v>0.4356400119084522</v>
      </c>
      <c r="AQ38" s="2">
        <f t="shared" si="16"/>
        <v>0.39178303253382174</v>
      </c>
      <c r="AR38" s="2">
        <f t="shared" si="16"/>
        <v>0.43576307706790995</v>
      </c>
      <c r="AS38" s="2">
        <f t="shared" si="16"/>
        <v>0.80863793529268924</v>
      </c>
      <c r="AT38" s="2">
        <f t="shared" si="16"/>
        <v>0.2377751046634318</v>
      </c>
      <c r="AU38" s="2">
        <f t="shared" si="16"/>
        <v>0.4898428733115946</v>
      </c>
      <c r="AV38" s="2">
        <f t="shared" si="16"/>
        <v>0.57933153446614694</v>
      </c>
      <c r="AW38" s="2">
        <f t="shared" si="16"/>
        <v>0.76353671487781483</v>
      </c>
      <c r="AX38" s="2">
        <f t="shared" si="16"/>
        <v>0.62004946884474621</v>
      </c>
      <c r="AY38" s="2">
        <f t="shared" si="16"/>
        <v>0.55807249937439463</v>
      </c>
      <c r="AZ38" s="2">
        <f t="shared" si="16"/>
        <v>0.48211355066211625</v>
      </c>
      <c r="BA38" s="2">
        <f t="shared" si="16"/>
        <v>0.4426542850800706</v>
      </c>
      <c r="BB38" s="2">
        <f t="shared" si="16"/>
        <v>0.53731496645155907</v>
      </c>
      <c r="BC38" s="2">
        <f t="shared" si="16"/>
        <v>0.62528524174907263</v>
      </c>
      <c r="BD38" s="2">
        <f t="shared" si="16"/>
        <v>0.60301950264184701</v>
      </c>
      <c r="BE38" s="2">
        <f t="shared" si="16"/>
        <v>0.6407204584922358</v>
      </c>
      <c r="BF38" s="2">
        <f t="shared" si="16"/>
        <v>0.49734744150400328</v>
      </c>
      <c r="BG38" s="2">
        <f t="shared" si="16"/>
        <v>0.40138447695940488</v>
      </c>
      <c r="BH38" s="2">
        <f t="shared" si="16"/>
        <v>0.48133408788468662</v>
      </c>
      <c r="BI38" s="2">
        <f t="shared" si="16"/>
        <v>0.52818809753731821</v>
      </c>
      <c r="BJ38" s="2">
        <f t="shared" si="16"/>
        <v>0.48656249203305901</v>
      </c>
      <c r="BK38" s="2">
        <f t="shared" si="16"/>
        <v>0.55848198733257448</v>
      </c>
      <c r="BL38" s="2">
        <f t="shared" si="16"/>
        <v>0.63469981152958888</v>
      </c>
      <c r="BM38" s="2">
        <f t="shared" si="16"/>
        <v>0.58082355233470528</v>
      </c>
      <c r="BN38" s="2">
        <f t="shared" si="16"/>
        <v>0.42589374869502272</v>
      </c>
      <c r="BO38" s="2">
        <f t="shared" si="16"/>
        <v>0.39029437784886523</v>
      </c>
      <c r="BP38" s="2">
        <f t="shared" si="16"/>
        <v>0.58991056393197172</v>
      </c>
      <c r="BQ38" s="2">
        <f t="shared" si="16"/>
        <v>0.93538738079004313</v>
      </c>
      <c r="BR38" s="2">
        <f t="shared" si="16"/>
        <v>0.3994710179355665</v>
      </c>
      <c r="BS38" s="2">
        <f t="shared" si="16"/>
        <v>0.41081615102565378</v>
      </c>
      <c r="BT38" s="2">
        <f t="shared" si="16"/>
        <v>0.55562631272145779</v>
      </c>
      <c r="BU38" s="2">
        <f t="shared" si="16"/>
        <v>0.72879285649291559</v>
      </c>
      <c r="BV38" s="2">
        <f t="shared" si="16"/>
        <v>0.40231396323294211</v>
      </c>
      <c r="BW38" s="2">
        <f t="shared" si="16"/>
        <v>0.57903977202728074</v>
      </c>
      <c r="BX38" s="2">
        <f t="shared" si="16"/>
        <v>0.29713720597090981</v>
      </c>
      <c r="BY38" s="2">
        <f t="shared" si="16"/>
        <v>0.31516121978412781</v>
      </c>
      <c r="BZ38" s="2">
        <f t="shared" si="16"/>
        <v>0.43282842743948119</v>
      </c>
      <c r="CE38" s="3"/>
      <c r="CF38" s="3"/>
      <c r="CG38" s="3"/>
      <c r="CH38" s="3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1"/>
    </row>
    <row r="39" spans="1:104" x14ac:dyDescent="0.2">
      <c r="A39">
        <v>7315</v>
      </c>
      <c r="B39" s="2">
        <v>140</v>
      </c>
      <c r="C39" s="2" t="s">
        <v>8</v>
      </c>
      <c r="D39" s="2" t="s">
        <v>291</v>
      </c>
      <c r="E39" s="2" t="s">
        <v>290</v>
      </c>
      <c r="F39" s="2" t="s">
        <v>289</v>
      </c>
      <c r="G39" s="2" t="s">
        <v>289</v>
      </c>
      <c r="H39" s="2">
        <v>2</v>
      </c>
      <c r="I39" s="2" t="s">
        <v>288</v>
      </c>
      <c r="J39" s="2">
        <v>807.59952999999996</v>
      </c>
      <c r="K39" s="2">
        <v>807.59950000000003</v>
      </c>
      <c r="L39" s="2">
        <v>806.59115659999998</v>
      </c>
      <c r="M39" s="2">
        <v>6.1239999999999997</v>
      </c>
      <c r="N39" s="2">
        <v>6.12</v>
      </c>
      <c r="O39" s="2">
        <v>1.2784625026112388</v>
      </c>
      <c r="P39" s="5" t="s">
        <v>157</v>
      </c>
      <c r="Q39" s="2">
        <v>4.7869999999999999</v>
      </c>
      <c r="R39" s="2">
        <v>1</v>
      </c>
      <c r="S39" s="2" t="s">
        <v>2</v>
      </c>
      <c r="T39" s="2" t="s">
        <v>1</v>
      </c>
      <c r="AC39" s="2">
        <f t="shared" si="17"/>
        <v>0.41270337875426266</v>
      </c>
      <c r="AD39" s="2">
        <f t="shared" si="16"/>
        <v>0.35965004869423678</v>
      </c>
      <c r="AE39" s="2">
        <f t="shared" si="16"/>
        <v>0.35216978906985569</v>
      </c>
      <c r="AF39" s="2">
        <f t="shared" si="16"/>
        <v>0.40135337737285165</v>
      </c>
      <c r="AG39" s="2">
        <f t="shared" si="16"/>
        <v>0.40126046139443988</v>
      </c>
      <c r="AH39" s="2">
        <f t="shared" si="16"/>
        <v>0.41691714565186377</v>
      </c>
      <c r="AI39" s="2">
        <f t="shared" si="16"/>
        <v>0.43858055354956577</v>
      </c>
      <c r="AJ39" s="2">
        <f t="shared" si="16"/>
        <v>0.44458435224145471</v>
      </c>
      <c r="AK39" s="2">
        <f t="shared" si="16"/>
        <v>0.56676408831358782</v>
      </c>
      <c r="AL39" s="2">
        <f t="shared" si="16"/>
        <v>0.42832287461920948</v>
      </c>
      <c r="AM39" s="2">
        <f t="shared" si="16"/>
        <v>0.63904679311407631</v>
      </c>
      <c r="AN39" s="2">
        <f t="shared" si="16"/>
        <v>0.27363146688852302</v>
      </c>
      <c r="AO39" s="2">
        <f t="shared" si="16"/>
        <v>0.43947140404624202</v>
      </c>
      <c r="AP39" s="2">
        <f t="shared" si="16"/>
        <v>0.4597566591686133</v>
      </c>
      <c r="AQ39" s="2">
        <f t="shared" si="16"/>
        <v>0.46462041264267467</v>
      </c>
      <c r="AR39" s="2">
        <f t="shared" si="16"/>
        <v>0.49659900360078085</v>
      </c>
      <c r="AS39" s="2">
        <f t="shared" si="16"/>
        <v>0.65269894940199136</v>
      </c>
      <c r="AT39" s="2">
        <f t="shared" si="16"/>
        <v>0.26967477227286135</v>
      </c>
      <c r="AU39" s="2">
        <f t="shared" si="16"/>
        <v>0.45799906252151845</v>
      </c>
      <c r="AV39" s="2">
        <f t="shared" si="16"/>
        <v>0.39832378616715602</v>
      </c>
      <c r="AW39" s="2">
        <f t="shared" si="16"/>
        <v>0.42129794508991431</v>
      </c>
      <c r="AX39" s="2">
        <f t="shared" si="16"/>
        <v>0.50785661080214017</v>
      </c>
      <c r="AY39" s="2">
        <f t="shared" si="16"/>
        <v>0.38626021063488075</v>
      </c>
      <c r="AZ39" s="2">
        <f t="shared" si="16"/>
        <v>0.38915558718941873</v>
      </c>
      <c r="BA39" s="2">
        <f t="shared" si="16"/>
        <v>0.42634086492299217</v>
      </c>
      <c r="BB39" s="2">
        <f t="shared" si="16"/>
        <v>0.54305282485771134</v>
      </c>
      <c r="BC39" s="2">
        <f t="shared" si="16"/>
        <v>0.52158518515594821</v>
      </c>
      <c r="BD39" s="2">
        <f t="shared" si="16"/>
        <v>0.71596562201501557</v>
      </c>
      <c r="BE39" s="2">
        <f t="shared" si="16"/>
        <v>0.66326556807180859</v>
      </c>
      <c r="BF39" s="2">
        <f t="shared" si="16"/>
        <v>0.43947642834997636</v>
      </c>
      <c r="BG39" s="2">
        <f t="shared" si="16"/>
        <v>0.40635495578488789</v>
      </c>
      <c r="BH39" s="2">
        <f t="shared" si="16"/>
        <v>0.48958959559640319</v>
      </c>
      <c r="BI39" s="2">
        <f t="shared" si="16"/>
        <v>0.43158576129741644</v>
      </c>
      <c r="BJ39" s="2">
        <f t="shared" si="16"/>
        <v>0.42533664376428854</v>
      </c>
      <c r="BK39" s="2">
        <f t="shared" si="16"/>
        <v>0.39017940844664423</v>
      </c>
      <c r="BL39" s="2">
        <f t="shared" si="16"/>
        <v>0.46407151999354951</v>
      </c>
      <c r="BM39" s="2">
        <f t="shared" si="16"/>
        <v>0.49832509200058228</v>
      </c>
      <c r="BN39" s="2">
        <f t="shared" si="16"/>
        <v>0.37873764760232781</v>
      </c>
      <c r="BO39" s="2">
        <f t="shared" si="16"/>
        <v>0.36975804016674907</v>
      </c>
      <c r="BP39" s="2">
        <f t="shared" si="16"/>
        <v>0.60707246714645602</v>
      </c>
      <c r="BQ39" s="2">
        <f t="shared" si="16"/>
        <v>0.57168980115139134</v>
      </c>
      <c r="BR39" s="2">
        <f t="shared" si="16"/>
        <v>0.50830370469005115</v>
      </c>
      <c r="BS39" s="2">
        <f t="shared" si="16"/>
        <v>0.43889956333887137</v>
      </c>
      <c r="BT39" s="2">
        <f t="shared" si="16"/>
        <v>0.37489444954997864</v>
      </c>
      <c r="BU39" s="2">
        <f t="shared" si="16"/>
        <v>0.66873174907963862</v>
      </c>
      <c r="BV39" s="2">
        <f t="shared" si="16"/>
        <v>0.51739724489431815</v>
      </c>
      <c r="BW39" s="2">
        <f t="shared" si="16"/>
        <v>0.52624324652314258</v>
      </c>
      <c r="BX39" s="2">
        <f t="shared" si="16"/>
        <v>0.42739199866360689</v>
      </c>
      <c r="BY39" s="2">
        <f t="shared" si="16"/>
        <v>0.37848817627088255</v>
      </c>
      <c r="BZ39" s="2">
        <f t="shared" si="16"/>
        <v>0.61442052409480163</v>
      </c>
      <c r="CE39" s="3"/>
      <c r="CF39" s="3"/>
      <c r="CG39" s="3"/>
      <c r="CH39" s="3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1"/>
    </row>
    <row r="40" spans="1:104" x14ac:dyDescent="0.2">
      <c r="A40">
        <v>7314</v>
      </c>
      <c r="B40" s="2">
        <v>138</v>
      </c>
      <c r="C40" s="2" t="s">
        <v>8</v>
      </c>
      <c r="D40" s="2" t="s">
        <v>287</v>
      </c>
      <c r="E40" s="2" t="s">
        <v>286</v>
      </c>
      <c r="F40" s="2" t="s">
        <v>285</v>
      </c>
      <c r="G40" s="2" t="s">
        <v>284</v>
      </c>
      <c r="H40" s="2">
        <v>2</v>
      </c>
      <c r="I40" s="2" t="s">
        <v>283</v>
      </c>
      <c r="J40" s="2">
        <v>805.58484999999996</v>
      </c>
      <c r="K40" s="2">
        <v>805.58489999999995</v>
      </c>
      <c r="L40" s="2">
        <v>804.57647659999998</v>
      </c>
      <c r="M40" s="2">
        <v>5.2279999999999998</v>
      </c>
      <c r="N40" s="2">
        <v>5.23</v>
      </c>
      <c r="O40" s="2">
        <v>1.0925423020681013</v>
      </c>
      <c r="P40" s="5" t="s">
        <v>157</v>
      </c>
      <c r="Q40" s="2">
        <v>4.7869999999999999</v>
      </c>
      <c r="R40" s="2">
        <v>1</v>
      </c>
      <c r="S40" s="2" t="s">
        <v>2</v>
      </c>
      <c r="T40" s="2" t="s">
        <v>1</v>
      </c>
      <c r="AC40" s="2">
        <f t="shared" si="17"/>
        <v>9.0924185767524488</v>
      </c>
      <c r="AD40" s="2">
        <f t="shared" si="16"/>
        <v>10.095795610796465</v>
      </c>
      <c r="AE40" s="2">
        <f t="shared" si="16"/>
        <v>9.5742244582448439</v>
      </c>
      <c r="AF40" s="2">
        <f t="shared" si="16"/>
        <v>10.875477910694007</v>
      </c>
      <c r="AG40" s="2">
        <f t="shared" si="16"/>
        <v>9.7766362364034034</v>
      </c>
      <c r="AH40" s="2">
        <f t="shared" si="16"/>
        <v>11.437928072400963</v>
      </c>
      <c r="AI40" s="2">
        <f t="shared" si="16"/>
        <v>11.913676839544095</v>
      </c>
      <c r="AJ40" s="2">
        <f t="shared" si="16"/>
        <v>11.493137137479751</v>
      </c>
      <c r="AK40" s="2">
        <f t="shared" si="16"/>
        <v>12.913157783040699</v>
      </c>
      <c r="AL40" s="2">
        <f t="shared" si="16"/>
        <v>11.456586313872741</v>
      </c>
      <c r="AM40" s="2">
        <f t="shared" si="16"/>
        <v>17.730955364336399</v>
      </c>
      <c r="AN40" s="2">
        <f t="shared" si="16"/>
        <v>8.3128617931412414</v>
      </c>
      <c r="AO40" s="2">
        <f t="shared" si="16"/>
        <v>10.083700283627946</v>
      </c>
      <c r="AP40" s="2">
        <f t="shared" si="16"/>
        <v>11.631036818693325</v>
      </c>
      <c r="AQ40" s="2">
        <f t="shared" si="16"/>
        <v>11.717072542410069</v>
      </c>
      <c r="AR40" s="2">
        <f t="shared" si="16"/>
        <v>11.923892972919859</v>
      </c>
      <c r="AS40" s="2">
        <f t="shared" si="16"/>
        <v>15.714173160062041</v>
      </c>
      <c r="AT40" s="2">
        <f t="shared" si="16"/>
        <v>6.6349029010239855</v>
      </c>
      <c r="AU40" s="2">
        <f t="shared" si="16"/>
        <v>11.500514039557396</v>
      </c>
      <c r="AV40" s="2">
        <f t="shared" si="16"/>
        <v>9.5926794536336963</v>
      </c>
      <c r="AW40" s="2">
        <f t="shared" si="16"/>
        <v>11.504584349853751</v>
      </c>
      <c r="AX40" s="2">
        <f t="shared" si="16"/>
        <v>12.420311858959412</v>
      </c>
      <c r="AY40" s="2">
        <f t="shared" si="16"/>
        <v>11.445975554728138</v>
      </c>
      <c r="AZ40" s="2">
        <f t="shared" si="16"/>
        <v>11.338669697734698</v>
      </c>
      <c r="BA40" s="2">
        <f t="shared" si="16"/>
        <v>11.747091108619836</v>
      </c>
      <c r="BB40" s="2">
        <f t="shared" si="16"/>
        <v>11.649865776685843</v>
      </c>
      <c r="BC40" s="2">
        <f t="shared" si="16"/>
        <v>12.680418151771345</v>
      </c>
      <c r="BD40" s="2">
        <f t="shared" si="16"/>
        <v>13.894433435546512</v>
      </c>
      <c r="BE40" s="2">
        <f t="shared" si="16"/>
        <v>14.016944715829505</v>
      </c>
      <c r="BF40" s="2">
        <f t="shared" si="16"/>
        <v>9.9352403060561709</v>
      </c>
      <c r="BG40" s="2">
        <f t="shared" si="16"/>
        <v>9.4047552579462863</v>
      </c>
      <c r="BH40" s="2">
        <f t="shared" si="16"/>
        <v>11.261631746126216</v>
      </c>
      <c r="BI40" s="2">
        <f t="shared" si="16"/>
        <v>10.536034205145969</v>
      </c>
      <c r="BJ40" s="2">
        <f t="shared" si="16"/>
        <v>10.004906079181628</v>
      </c>
      <c r="BK40" s="2">
        <f t="shared" si="16"/>
        <v>9.9351580042890468</v>
      </c>
      <c r="BL40" s="2">
        <f t="shared" si="16"/>
        <v>12.251323190106824</v>
      </c>
      <c r="BM40" s="2">
        <f t="shared" si="16"/>
        <v>10.32045619617003</v>
      </c>
      <c r="BN40" s="2">
        <f t="shared" si="16"/>
        <v>9.2331491512288668</v>
      </c>
      <c r="BO40" s="2">
        <f t="shared" si="16"/>
        <v>9.8343578536447591</v>
      </c>
      <c r="BP40" s="2">
        <f t="shared" si="16"/>
        <v>14.520803229318197</v>
      </c>
      <c r="BQ40" s="2">
        <f t="shared" si="16"/>
        <v>15.180638881078933</v>
      </c>
      <c r="BR40" s="2">
        <f t="shared" si="16"/>
        <v>10.862004853756</v>
      </c>
      <c r="BS40" s="2">
        <f t="shared" si="16"/>
        <v>10.812780147594987</v>
      </c>
      <c r="BT40" s="2">
        <f t="shared" si="16"/>
        <v>10.513572582418378</v>
      </c>
      <c r="BU40" s="2">
        <f t="shared" si="16"/>
        <v>14.552702492845745</v>
      </c>
      <c r="BV40" s="2">
        <f t="shared" si="16"/>
        <v>11.199581714622964</v>
      </c>
      <c r="BW40" s="2">
        <f t="shared" si="16"/>
        <v>11.764975218361696</v>
      </c>
      <c r="BX40" s="2">
        <f t="shared" si="16"/>
        <v>10.15083997153635</v>
      </c>
      <c r="BY40" s="2">
        <f t="shared" si="16"/>
        <v>9.9587270642998469</v>
      </c>
      <c r="BZ40" s="2">
        <f t="shared" si="16"/>
        <v>14.786974395338889</v>
      </c>
      <c r="CE40" s="3"/>
      <c r="CF40" s="3"/>
      <c r="CG40" s="3"/>
      <c r="CH40" s="3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1"/>
    </row>
    <row r="41" spans="1:104" x14ac:dyDescent="0.2">
      <c r="A41">
        <v>7313</v>
      </c>
      <c r="B41" s="2">
        <v>137</v>
      </c>
      <c r="C41" s="2" t="s">
        <v>8</v>
      </c>
      <c r="D41" s="2" t="s">
        <v>282</v>
      </c>
      <c r="E41" s="2" t="s">
        <v>281</v>
      </c>
      <c r="F41" s="2" t="s">
        <v>280</v>
      </c>
      <c r="G41" s="2" t="s">
        <v>279</v>
      </c>
      <c r="H41" s="2">
        <v>2</v>
      </c>
      <c r="I41" s="2" t="s">
        <v>278</v>
      </c>
      <c r="J41" s="2">
        <v>803.56925999999999</v>
      </c>
      <c r="K41" s="2">
        <v>803.5693</v>
      </c>
      <c r="L41" s="2">
        <v>802.5608866</v>
      </c>
      <c r="M41" s="2">
        <v>4.5970000000000004</v>
      </c>
      <c r="N41" s="2">
        <v>4.5999999999999996</v>
      </c>
      <c r="O41" s="2">
        <v>0.96093586797576769</v>
      </c>
      <c r="P41" s="5" t="s">
        <v>157</v>
      </c>
      <c r="Q41" s="2">
        <v>4.7869999999999999</v>
      </c>
      <c r="R41" s="2">
        <v>1</v>
      </c>
      <c r="S41" s="2" t="s">
        <v>2</v>
      </c>
      <c r="T41" s="2" t="s">
        <v>1</v>
      </c>
      <c r="AC41" s="2">
        <f t="shared" si="17"/>
        <v>17.068854961032642</v>
      </c>
      <c r="AD41" s="2">
        <f t="shared" si="16"/>
        <v>21.001025223626211</v>
      </c>
      <c r="AE41" s="2">
        <f t="shared" si="16"/>
        <v>17.755598257791906</v>
      </c>
      <c r="AF41" s="2">
        <f t="shared" si="16"/>
        <v>18.802573102008918</v>
      </c>
      <c r="AG41" s="2">
        <f t="shared" si="16"/>
        <v>16.650835553011049</v>
      </c>
      <c r="AH41" s="2">
        <f t="shared" si="16"/>
        <v>20.41487563143555</v>
      </c>
      <c r="AI41" s="2">
        <f t="shared" si="16"/>
        <v>19.549185366505544</v>
      </c>
      <c r="AJ41" s="2">
        <f t="shared" si="16"/>
        <v>20.2175987742004</v>
      </c>
      <c r="AK41" s="2">
        <f t="shared" si="16"/>
        <v>19.439463546589423</v>
      </c>
      <c r="AL41" s="2">
        <f t="shared" si="16"/>
        <v>16.41371795999045</v>
      </c>
      <c r="AM41" s="2">
        <f t="shared" si="16"/>
        <v>21.133711564421276</v>
      </c>
      <c r="AN41" s="2">
        <f t="shared" si="16"/>
        <v>12.67876458004317</v>
      </c>
      <c r="AO41" s="2">
        <f t="shared" si="16"/>
        <v>16.226831145059649</v>
      </c>
      <c r="AP41" s="2">
        <f t="shared" si="16"/>
        <v>16.5764589113735</v>
      </c>
      <c r="AQ41" s="2">
        <f t="shared" si="16"/>
        <v>17.641484469675135</v>
      </c>
      <c r="AR41" s="2">
        <f t="shared" si="16"/>
        <v>18.276071401799328</v>
      </c>
      <c r="AS41" s="2">
        <f t="shared" si="16"/>
        <v>23.141835612718925</v>
      </c>
      <c r="AT41" s="2">
        <f t="shared" si="16"/>
        <v>12.29257929508154</v>
      </c>
      <c r="AU41" s="2">
        <f t="shared" si="16"/>
        <v>21.754765229782457</v>
      </c>
      <c r="AV41" s="2">
        <f t="shared" si="16"/>
        <v>17.49384722452071</v>
      </c>
      <c r="AW41" s="2">
        <f t="shared" si="16"/>
        <v>24.839386525011559</v>
      </c>
      <c r="AX41" s="2">
        <f t="shared" si="16"/>
        <v>20.761375989793592</v>
      </c>
      <c r="AY41" s="2">
        <f t="shared" si="16"/>
        <v>24.218671520435056</v>
      </c>
      <c r="AZ41" s="2">
        <f t="shared" si="16"/>
        <v>19.580869507079818</v>
      </c>
      <c r="BA41" s="2">
        <f t="shared" si="16"/>
        <v>19.69343298767421</v>
      </c>
      <c r="BB41" s="2">
        <f t="shared" si="16"/>
        <v>19.151049429319524</v>
      </c>
      <c r="BC41" s="2">
        <f t="shared" ref="AD41:BZ46" si="18">(BC8/BC$2)*2.00695</f>
        <v>19.732982409436712</v>
      </c>
      <c r="BD41" s="2">
        <f t="shared" si="18"/>
        <v>22.602981508673313</v>
      </c>
      <c r="BE41" s="2">
        <f t="shared" si="18"/>
        <v>22.500679992578657</v>
      </c>
      <c r="BF41" s="2">
        <f t="shared" si="18"/>
        <v>14.904933300592077</v>
      </c>
      <c r="BG41" s="2">
        <f t="shared" si="18"/>
        <v>14.047807000016306</v>
      </c>
      <c r="BH41" s="2">
        <f t="shared" si="18"/>
        <v>16.145556907772534</v>
      </c>
      <c r="BI41" s="2">
        <f t="shared" si="18"/>
        <v>14.079304569341216</v>
      </c>
      <c r="BJ41" s="2">
        <f t="shared" si="18"/>
        <v>13.708326055484715</v>
      </c>
      <c r="BK41" s="2">
        <f t="shared" si="18"/>
        <v>13.069661366527336</v>
      </c>
      <c r="BL41" s="2">
        <f t="shared" si="18"/>
        <v>16.494239964335158</v>
      </c>
      <c r="BM41" s="2">
        <f t="shared" si="18"/>
        <v>15.337213858717936</v>
      </c>
      <c r="BN41" s="2">
        <f t="shared" si="18"/>
        <v>11.176399345830573</v>
      </c>
      <c r="BO41" s="2">
        <f t="shared" si="18"/>
        <v>14.263730824383112</v>
      </c>
      <c r="BP41" s="2">
        <f t="shared" si="18"/>
        <v>17.772998851733675</v>
      </c>
      <c r="BQ41" s="2">
        <f t="shared" si="18"/>
        <v>24.228122893310946</v>
      </c>
      <c r="BR41" s="2">
        <f t="shared" si="18"/>
        <v>18.224827193935266</v>
      </c>
      <c r="BS41" s="2">
        <f t="shared" si="18"/>
        <v>17.635882376264419</v>
      </c>
      <c r="BT41" s="2">
        <f t="shared" si="18"/>
        <v>15.701081034273184</v>
      </c>
      <c r="BU41" s="2">
        <f t="shared" si="18"/>
        <v>24.202935056571864</v>
      </c>
      <c r="BV41" s="2">
        <f t="shared" si="18"/>
        <v>18.896855232332967</v>
      </c>
      <c r="BW41" s="2">
        <f t="shared" si="18"/>
        <v>19.38244232626608</v>
      </c>
      <c r="BX41" s="2">
        <f t="shared" si="18"/>
        <v>17.193982941938849</v>
      </c>
      <c r="BY41" s="2">
        <f t="shared" si="18"/>
        <v>15.458928015975886</v>
      </c>
      <c r="BZ41" s="2">
        <f t="shared" si="18"/>
        <v>23.00447729268188</v>
      </c>
      <c r="CE41" s="3"/>
      <c r="CF41" s="3"/>
      <c r="CG41" s="3"/>
      <c r="CH41" s="3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1"/>
    </row>
    <row r="42" spans="1:104" x14ac:dyDescent="0.2">
      <c r="A42">
        <v>7312</v>
      </c>
      <c r="B42" s="2">
        <v>134</v>
      </c>
      <c r="C42" s="2" t="s">
        <v>8</v>
      </c>
      <c r="D42" s="2" t="s">
        <v>277</v>
      </c>
      <c r="E42" s="2" t="s">
        <v>276</v>
      </c>
      <c r="F42" s="2" t="s">
        <v>275</v>
      </c>
      <c r="G42" s="2" t="s">
        <v>274</v>
      </c>
      <c r="H42" s="2">
        <v>2</v>
      </c>
      <c r="I42" s="2" t="s">
        <v>269</v>
      </c>
      <c r="J42" s="2">
        <v>801.55254000000002</v>
      </c>
      <c r="K42" s="2">
        <v>801.55250000000001</v>
      </c>
      <c r="L42" s="2">
        <v>800.54416660000004</v>
      </c>
      <c r="M42" s="2">
        <v>4.2140000000000004</v>
      </c>
      <c r="N42" s="2">
        <v>4.21</v>
      </c>
      <c r="O42" s="2">
        <v>0.87946521829956137</v>
      </c>
      <c r="P42" s="5" t="s">
        <v>157</v>
      </c>
      <c r="Q42" s="2">
        <v>4.7869999999999999</v>
      </c>
      <c r="R42" s="2">
        <v>1</v>
      </c>
      <c r="S42" s="2" t="s">
        <v>2</v>
      </c>
      <c r="T42" s="2" t="s">
        <v>1</v>
      </c>
      <c r="AC42" s="2">
        <f t="shared" si="17"/>
        <v>0.14235000311370952</v>
      </c>
      <c r="AD42" s="2">
        <f t="shared" si="18"/>
        <v>0.17884339793680165</v>
      </c>
      <c r="AE42" s="2">
        <f t="shared" si="18"/>
        <v>0.12133516471951432</v>
      </c>
      <c r="AF42" s="2">
        <f t="shared" si="18"/>
        <v>9.92399824960951E-2</v>
      </c>
      <c r="AG42" s="2">
        <f t="shared" si="18"/>
        <v>0.10629142857086048</v>
      </c>
      <c r="AH42" s="2">
        <f t="shared" si="18"/>
        <v>0.19220547340324881</v>
      </c>
      <c r="AI42" s="2">
        <f t="shared" si="18"/>
        <v>0.13495406769446625</v>
      </c>
      <c r="AJ42" s="2">
        <f t="shared" si="18"/>
        <v>0.2031325520906116</v>
      </c>
      <c r="AK42" s="2">
        <f t="shared" si="18"/>
        <v>0.15981194833335413</v>
      </c>
      <c r="AL42" s="2">
        <f t="shared" si="18"/>
        <v>0.13884556440982473</v>
      </c>
      <c r="AM42" s="2">
        <f t="shared" si="18"/>
        <v>0.16732779082443219</v>
      </c>
      <c r="AN42" s="2">
        <f t="shared" si="18"/>
        <v>8.474642807411352E-2</v>
      </c>
      <c r="AO42" s="2">
        <f t="shared" si="18"/>
        <v>0.12206323608031378</v>
      </c>
      <c r="AP42" s="2">
        <f t="shared" si="18"/>
        <v>0.12706198078965986</v>
      </c>
      <c r="AQ42" s="2">
        <f t="shared" si="18"/>
        <v>0.16110572141250479</v>
      </c>
      <c r="AR42" s="2">
        <f t="shared" si="18"/>
        <v>0.15245917117355406</v>
      </c>
      <c r="AS42" s="2">
        <f t="shared" si="18"/>
        <v>0.22402887767035454</v>
      </c>
      <c r="AT42" s="2">
        <f t="shared" si="18"/>
        <v>8.893215411182688E-2</v>
      </c>
      <c r="AU42" s="2">
        <f t="shared" si="18"/>
        <v>0.21567741001432153</v>
      </c>
      <c r="AV42" s="2">
        <f t="shared" si="18"/>
        <v>0.15070005436117628</v>
      </c>
      <c r="AW42" s="2">
        <f t="shared" si="18"/>
        <v>0.30548556351648537</v>
      </c>
      <c r="AX42" s="2">
        <f t="shared" si="18"/>
        <v>0.12521913468716345</v>
      </c>
      <c r="AY42" s="2">
        <f t="shared" si="18"/>
        <v>0.28226575730448589</v>
      </c>
      <c r="AZ42" s="2">
        <f t="shared" si="18"/>
        <v>0.18069447110422532</v>
      </c>
      <c r="BA42" s="2">
        <f t="shared" si="18"/>
        <v>0.18549609677842349</v>
      </c>
      <c r="BB42" s="2">
        <f t="shared" si="18"/>
        <v>8.6805171063025377E-2</v>
      </c>
      <c r="BC42" s="2">
        <f t="shared" si="18"/>
        <v>8.444977062076113E-2</v>
      </c>
      <c r="BD42" s="2">
        <f t="shared" si="18"/>
        <v>0.12120135976429439</v>
      </c>
      <c r="BE42" s="2">
        <f t="shared" si="18"/>
        <v>0.10996662540729821</v>
      </c>
      <c r="BF42" s="2">
        <f t="shared" si="18"/>
        <v>7.3609498161148895E-2</v>
      </c>
      <c r="BG42" s="2">
        <f t="shared" si="18"/>
        <v>6.5200836086158231E-2</v>
      </c>
      <c r="BH42" s="2">
        <f t="shared" si="18"/>
        <v>6.3618079729703833E-2</v>
      </c>
      <c r="BI42" s="2">
        <f t="shared" si="18"/>
        <v>4.5916638627193876E-2</v>
      </c>
      <c r="BJ42" s="2">
        <f t="shared" si="18"/>
        <v>6.6253632419658925E-2</v>
      </c>
      <c r="BK42" s="2">
        <f t="shared" si="18"/>
        <v>6.5046715382716128E-2</v>
      </c>
      <c r="BL42" s="2">
        <f t="shared" si="18"/>
        <v>6.8096418135730766E-2</v>
      </c>
      <c r="BM42" s="2">
        <f t="shared" si="18"/>
        <v>6.4940818451321422E-2</v>
      </c>
      <c r="BN42" s="2">
        <f t="shared" si="18"/>
        <v>4.9248813700878281E-2</v>
      </c>
      <c r="BO42" s="2">
        <f t="shared" si="18"/>
        <v>6.4558951261825481E-2</v>
      </c>
      <c r="BP42" s="2">
        <f t="shared" si="18"/>
        <v>8.0714957868394901E-2</v>
      </c>
      <c r="BQ42" s="2">
        <f t="shared" si="18"/>
        <v>0.12157155829599957</v>
      </c>
      <c r="BR42" s="2">
        <f t="shared" si="18"/>
        <v>9.6793193165035443E-2</v>
      </c>
      <c r="BS42" s="2">
        <f t="shared" si="18"/>
        <v>8.2010147943997275E-2</v>
      </c>
      <c r="BT42" s="2">
        <f t="shared" si="18"/>
        <v>7.6691879929036144E-2</v>
      </c>
      <c r="BU42" s="2">
        <f t="shared" si="18"/>
        <v>0.12577350194766762</v>
      </c>
      <c r="BV42" s="2">
        <f t="shared" si="18"/>
        <v>0.10385813183206125</v>
      </c>
      <c r="BW42" s="2">
        <f t="shared" si="18"/>
        <v>7.7421406517536845E-2</v>
      </c>
      <c r="BX42" s="2">
        <f t="shared" si="18"/>
        <v>8.6011903129525016E-2</v>
      </c>
      <c r="BY42" s="2">
        <f t="shared" si="18"/>
        <v>7.9281543153553485E-2</v>
      </c>
      <c r="BZ42" s="2">
        <f t="shared" si="18"/>
        <v>0.13498779819218512</v>
      </c>
      <c r="CE42" s="3"/>
      <c r="CF42" s="3"/>
      <c r="CG42" s="3"/>
      <c r="CH42" s="3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1"/>
    </row>
    <row r="43" spans="1:104" x14ac:dyDescent="0.2">
      <c r="A43">
        <v>7311</v>
      </c>
      <c r="B43" s="2">
        <v>133</v>
      </c>
      <c r="C43" s="2" t="s">
        <v>8</v>
      </c>
      <c r="D43" s="2" t="s">
        <v>273</v>
      </c>
      <c r="E43" s="2" t="s">
        <v>272</v>
      </c>
      <c r="F43" s="2" t="s">
        <v>271</v>
      </c>
      <c r="G43" s="2" t="s">
        <v>270</v>
      </c>
      <c r="H43" s="2">
        <v>2</v>
      </c>
      <c r="I43" s="2" t="s">
        <v>269</v>
      </c>
      <c r="J43" s="2">
        <v>801.55253000000005</v>
      </c>
      <c r="K43" s="2">
        <v>801.55250000000001</v>
      </c>
      <c r="L43" s="2">
        <v>800.54415660000006</v>
      </c>
      <c r="M43" s="2">
        <v>3.9529999999999998</v>
      </c>
      <c r="N43" s="2">
        <v>3.95</v>
      </c>
      <c r="O43" s="2">
        <v>0.82515145184875716</v>
      </c>
      <c r="P43" s="5" t="s">
        <v>157</v>
      </c>
      <c r="Q43" s="2">
        <v>4.7869999999999999</v>
      </c>
      <c r="R43" s="2">
        <v>1</v>
      </c>
      <c r="S43" s="2" t="s">
        <v>2</v>
      </c>
      <c r="T43" s="2" t="s">
        <v>1</v>
      </c>
      <c r="AC43" s="2">
        <f t="shared" si="17"/>
        <v>9.6534761857975063E-2</v>
      </c>
      <c r="AD43" s="2">
        <f t="shared" si="18"/>
        <v>0.20359967410870772</v>
      </c>
      <c r="AE43" s="2">
        <f t="shared" si="18"/>
        <v>0.21865951811141257</v>
      </c>
      <c r="AF43" s="2">
        <f t="shared" si="18"/>
        <v>0.17604009322556508</v>
      </c>
      <c r="AG43" s="2">
        <f t="shared" si="18"/>
        <v>0.12489314949145106</v>
      </c>
      <c r="AH43" s="2">
        <f t="shared" si="18"/>
        <v>0.12556396530819686</v>
      </c>
      <c r="AI43" s="2">
        <f t="shared" si="18"/>
        <v>0.15160566688938598</v>
      </c>
      <c r="AJ43" s="2">
        <f t="shared" si="18"/>
        <v>0.19328887732316216</v>
      </c>
      <c r="AK43" s="2">
        <f t="shared" si="18"/>
        <v>0.13433489548899771</v>
      </c>
      <c r="AL43" s="2">
        <f t="shared" si="18"/>
        <v>0.14114966598548509</v>
      </c>
      <c r="AM43" s="2">
        <f t="shared" si="18"/>
        <v>0.24990312729837874</v>
      </c>
      <c r="AN43" s="2">
        <f t="shared" si="18"/>
        <v>0.10450439031859597</v>
      </c>
      <c r="AO43" s="2">
        <f t="shared" si="18"/>
        <v>0.15976125810617686</v>
      </c>
      <c r="AP43" s="2">
        <f t="shared" si="18"/>
        <v>0.11904850353158226</v>
      </c>
      <c r="AQ43" s="2">
        <f t="shared" si="18"/>
        <v>0.13689277016353726</v>
      </c>
      <c r="AR43" s="2">
        <f t="shared" si="18"/>
        <v>0.17098864329032731</v>
      </c>
      <c r="AS43" s="2">
        <f t="shared" si="18"/>
        <v>0.1872789540585344</v>
      </c>
      <c r="AT43" s="2">
        <f t="shared" si="18"/>
        <v>0.10646560355352448</v>
      </c>
      <c r="AU43" s="2">
        <f t="shared" si="18"/>
        <v>0.21559875340375148</v>
      </c>
      <c r="AV43" s="2">
        <f t="shared" si="18"/>
        <v>0.14133142388321179</v>
      </c>
      <c r="AW43" s="2">
        <f t="shared" si="18"/>
        <v>0.26774782065616531</v>
      </c>
      <c r="AX43" s="2">
        <f t="shared" si="18"/>
        <v>0.23643022699077901</v>
      </c>
      <c r="AY43" s="2">
        <f t="shared" si="18"/>
        <v>0.19880390843317924</v>
      </c>
      <c r="AZ43" s="2">
        <f t="shared" si="18"/>
        <v>9.6120369139018655E-2</v>
      </c>
      <c r="BA43" s="2">
        <f t="shared" si="18"/>
        <v>0.20025007942197978</v>
      </c>
      <c r="BB43" s="2">
        <f t="shared" si="18"/>
        <v>0.17277991272944551</v>
      </c>
      <c r="BC43" s="2">
        <f t="shared" si="18"/>
        <v>0.18401911800091242</v>
      </c>
      <c r="BD43" s="2">
        <f t="shared" si="18"/>
        <v>0.16955160782965609</v>
      </c>
      <c r="BE43" s="2">
        <f t="shared" si="18"/>
        <v>0.1426217154053197</v>
      </c>
      <c r="BF43" s="2">
        <f t="shared" si="18"/>
        <v>0.1052018240722347</v>
      </c>
      <c r="BG43" s="2">
        <f t="shared" si="18"/>
        <v>0.13038632585378931</v>
      </c>
      <c r="BH43" s="2">
        <f t="shared" si="18"/>
        <v>0.13550174864989079</v>
      </c>
      <c r="BI43" s="2">
        <f t="shared" si="18"/>
        <v>0.12457125479992347</v>
      </c>
      <c r="BJ43" s="2">
        <f t="shared" si="18"/>
        <v>9.9660696167699458E-2</v>
      </c>
      <c r="BK43" s="2">
        <f t="shared" si="18"/>
        <v>0.13913161272675709</v>
      </c>
      <c r="BL43" s="2">
        <f t="shared" si="18"/>
        <v>0.17029329136912641</v>
      </c>
      <c r="BM43" s="2">
        <f t="shared" si="18"/>
        <v>0.13282369034375591</v>
      </c>
      <c r="BN43" s="2">
        <f t="shared" si="18"/>
        <v>9.9807256675555997E-2</v>
      </c>
      <c r="BO43" s="2">
        <f t="shared" si="18"/>
        <v>8.5403930981440848E-2</v>
      </c>
      <c r="BP43" s="2">
        <f t="shared" si="18"/>
        <v>0.14099047296545497</v>
      </c>
      <c r="BQ43" s="2">
        <f t="shared" si="18"/>
        <v>0.23143791658800592</v>
      </c>
      <c r="BR43" s="2">
        <f t="shared" si="18"/>
        <v>0.1467313967911342</v>
      </c>
      <c r="BS43" s="2">
        <f t="shared" si="18"/>
        <v>0.19844194165443693</v>
      </c>
      <c r="BT43" s="2">
        <f t="shared" si="18"/>
        <v>0.13907043142522424</v>
      </c>
      <c r="BU43" s="2">
        <f t="shared" si="18"/>
        <v>0.20147706517709635</v>
      </c>
      <c r="BV43" s="2">
        <f t="shared" si="18"/>
        <v>6.1444197128931503E-2</v>
      </c>
      <c r="BW43" s="2">
        <f t="shared" si="18"/>
        <v>0.17982320462663062</v>
      </c>
      <c r="BX43" s="2">
        <f t="shared" si="18"/>
        <v>0.14067583284420568</v>
      </c>
      <c r="BY43" s="2">
        <f t="shared" si="18"/>
        <v>0.12806515120190073</v>
      </c>
      <c r="BZ43" s="2">
        <f t="shared" si="18"/>
        <v>0.16397837359830714</v>
      </c>
      <c r="CE43" s="3"/>
      <c r="CF43" s="3"/>
      <c r="CG43" s="3"/>
      <c r="CH43" s="3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1"/>
    </row>
    <row r="44" spans="1:104" x14ac:dyDescent="0.2">
      <c r="A44">
        <v>7310</v>
      </c>
      <c r="B44" s="2">
        <v>132</v>
      </c>
      <c r="C44" s="2" t="s">
        <v>8</v>
      </c>
      <c r="D44" s="2" t="s">
        <v>268</v>
      </c>
      <c r="E44" s="2" t="s">
        <v>267</v>
      </c>
      <c r="F44" s="2" t="s">
        <v>266</v>
      </c>
      <c r="G44" s="2" t="s">
        <v>265</v>
      </c>
      <c r="H44" s="2">
        <v>2</v>
      </c>
      <c r="I44" s="2" t="s">
        <v>264</v>
      </c>
      <c r="J44" s="2">
        <v>799.53702999999996</v>
      </c>
      <c r="K44" s="2">
        <v>799.53700000000003</v>
      </c>
      <c r="L44" s="2">
        <v>798.52865659999998</v>
      </c>
      <c r="M44" s="2">
        <v>3.7810000000000001</v>
      </c>
      <c r="N44" s="2">
        <v>3.78</v>
      </c>
      <c r="O44" s="2">
        <v>0.78963860455400037</v>
      </c>
      <c r="P44" s="5" t="s">
        <v>157</v>
      </c>
      <c r="Q44" s="2">
        <v>4.7869999999999999</v>
      </c>
      <c r="R44" s="2">
        <v>1</v>
      </c>
      <c r="S44" s="2" t="s">
        <v>2</v>
      </c>
      <c r="T44" s="2" t="s">
        <v>1</v>
      </c>
      <c r="AC44" s="2">
        <f t="shared" si="17"/>
        <v>6.2475117637084049E-2</v>
      </c>
      <c r="AD44" s="2">
        <f t="shared" si="18"/>
        <v>5.9062228647451066E-2</v>
      </c>
      <c r="AE44" s="2">
        <f t="shared" si="18"/>
        <v>7.3244883929681037E-2</v>
      </c>
      <c r="AF44" s="2">
        <f t="shared" si="18"/>
        <v>6.7128988847018303E-2</v>
      </c>
      <c r="AG44" s="2">
        <f t="shared" si="18"/>
        <v>6.2495346454805985E-2</v>
      </c>
      <c r="AH44" s="2">
        <f t="shared" si="18"/>
        <v>8.2684260683338326E-2</v>
      </c>
      <c r="AI44" s="2">
        <f t="shared" si="18"/>
        <v>4.9501323746079212E-2</v>
      </c>
      <c r="AJ44" s="2">
        <f t="shared" si="18"/>
        <v>7.887914650544578E-2</v>
      </c>
      <c r="AK44" s="2">
        <f t="shared" si="18"/>
        <v>8.7677736695912251E-2</v>
      </c>
      <c r="AL44" s="2">
        <f t="shared" si="18"/>
        <v>6.7317667761444336E-2</v>
      </c>
      <c r="AM44" s="2">
        <f t="shared" si="18"/>
        <v>9.8614410022141816E-2</v>
      </c>
      <c r="AN44" s="2">
        <f t="shared" si="18"/>
        <v>4.5464193535065131E-2</v>
      </c>
      <c r="AO44" s="2">
        <f t="shared" si="18"/>
        <v>6.2116103949319046E-2</v>
      </c>
      <c r="AP44" s="2">
        <f t="shared" si="18"/>
        <v>8.7824803901269524E-2</v>
      </c>
      <c r="AQ44" s="2">
        <f t="shared" si="18"/>
        <v>5.8622254446583547E-2</v>
      </c>
      <c r="AR44" s="2">
        <f t="shared" si="18"/>
        <v>8.811629823743139E-2</v>
      </c>
      <c r="AS44" s="2">
        <f t="shared" si="18"/>
        <v>0.10474568399863744</v>
      </c>
      <c r="AT44" s="2">
        <f t="shared" si="18"/>
        <v>3.2698823757865959E-2</v>
      </c>
      <c r="AU44" s="2">
        <f t="shared" si="18"/>
        <v>8.3002485460253211E-2</v>
      </c>
      <c r="AV44" s="2">
        <f t="shared" si="18"/>
        <v>6.2840373344974748E-2</v>
      </c>
      <c r="AW44" s="2">
        <f t="shared" si="18"/>
        <v>8.1641869908270506E-2</v>
      </c>
      <c r="AX44" s="2">
        <f t="shared" si="18"/>
        <v>8.8590581728247131E-2</v>
      </c>
      <c r="AY44" s="2">
        <f t="shared" si="18"/>
        <v>8.3701573739842758E-2</v>
      </c>
      <c r="AZ44" s="2">
        <f t="shared" si="18"/>
        <v>6.5612472100717675E-2</v>
      </c>
      <c r="BA44" s="2">
        <f t="shared" si="18"/>
        <v>7.8883846056164095E-2</v>
      </c>
      <c r="BB44" s="2">
        <f t="shared" si="18"/>
        <v>7.6627375499184594E-2</v>
      </c>
      <c r="BC44" s="2">
        <f t="shared" si="18"/>
        <v>6.4061622713403696E-2</v>
      </c>
      <c r="BD44" s="2">
        <f t="shared" si="18"/>
        <v>0.12365363379256927</v>
      </c>
      <c r="BE44" s="2">
        <f t="shared" si="18"/>
        <v>0.10168062342862497</v>
      </c>
      <c r="BF44" s="2">
        <f t="shared" si="18"/>
        <v>6.3333575339025658E-2</v>
      </c>
      <c r="BG44" s="2">
        <f t="shared" si="18"/>
        <v>6.1169871294378259E-2</v>
      </c>
      <c r="BH44" s="2">
        <f t="shared" si="18"/>
        <v>5.8644776760307715E-2</v>
      </c>
      <c r="BI44" s="2">
        <f t="shared" si="18"/>
        <v>5.4442015582470825E-2</v>
      </c>
      <c r="BJ44" s="2">
        <f t="shared" si="18"/>
        <v>7.5582711269456412E-2</v>
      </c>
      <c r="BK44" s="2">
        <f t="shared" si="18"/>
        <v>5.4196089942591508E-2</v>
      </c>
      <c r="BL44" s="2">
        <f t="shared" si="18"/>
        <v>7.3675525833930292E-2</v>
      </c>
      <c r="BM44" s="2">
        <f t="shared" si="18"/>
        <v>7.5255108135584711E-2</v>
      </c>
      <c r="BN44" s="2">
        <f t="shared" si="18"/>
        <v>4.5714728137618302E-2</v>
      </c>
      <c r="BO44" s="2">
        <f t="shared" si="18"/>
        <v>5.1944889381467012E-2</v>
      </c>
      <c r="BP44" s="2">
        <f t="shared" si="18"/>
        <v>0.10139246795208284</v>
      </c>
      <c r="BQ44" s="2">
        <f t="shared" si="18"/>
        <v>0.12168830041461329</v>
      </c>
      <c r="BR44" s="2">
        <f t="shared" si="18"/>
        <v>9.2313272021350992E-2</v>
      </c>
      <c r="BS44" s="2">
        <f t="shared" si="18"/>
        <v>6.4376010991906416E-2</v>
      </c>
      <c r="BT44" s="2">
        <f t="shared" si="18"/>
        <v>6.4344763688372719E-2</v>
      </c>
      <c r="BU44" s="2">
        <f t="shared" si="18"/>
        <v>0.10228494054141408</v>
      </c>
      <c r="BV44" s="2">
        <f t="shared" si="18"/>
        <v>8.3113018667686209E-2</v>
      </c>
      <c r="BW44" s="2">
        <f t="shared" si="18"/>
        <v>8.0215729987707207E-2</v>
      </c>
      <c r="BX44" s="2">
        <f t="shared" si="18"/>
        <v>7.1862355012051168E-2</v>
      </c>
      <c r="BY44" s="2">
        <f t="shared" si="18"/>
        <v>5.9940998411477174E-2</v>
      </c>
      <c r="BZ44" s="2">
        <f t="shared" si="18"/>
        <v>0.13102605448899105</v>
      </c>
      <c r="CE44" s="3"/>
      <c r="CF44" s="3"/>
      <c r="CG44" s="3"/>
      <c r="CH44" s="3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1"/>
    </row>
    <row r="45" spans="1:104" x14ac:dyDescent="0.2">
      <c r="A45">
        <v>7309</v>
      </c>
      <c r="B45" s="2">
        <v>130</v>
      </c>
      <c r="C45" s="2" t="s">
        <v>8</v>
      </c>
      <c r="D45" s="2" t="s">
        <v>263</v>
      </c>
      <c r="E45" s="2" t="s">
        <v>262</v>
      </c>
      <c r="F45" s="2" t="s">
        <v>261</v>
      </c>
      <c r="G45" s="2" t="s">
        <v>260</v>
      </c>
      <c r="H45" s="2">
        <v>2</v>
      </c>
      <c r="I45" s="2" t="s">
        <v>259</v>
      </c>
      <c r="J45" s="2">
        <v>817.58397000000002</v>
      </c>
      <c r="K45" s="2">
        <v>817.58399999999995</v>
      </c>
      <c r="L45" s="2">
        <v>816.57559660000004</v>
      </c>
      <c r="M45" s="2">
        <v>5.0279999999999996</v>
      </c>
      <c r="N45" s="2">
        <v>5.03</v>
      </c>
      <c r="O45" s="2">
        <v>1.0507624817213286</v>
      </c>
      <c r="P45" s="5" t="s">
        <v>157</v>
      </c>
      <c r="Q45" s="2">
        <v>4.7869999999999999</v>
      </c>
      <c r="R45" s="2">
        <v>1</v>
      </c>
      <c r="S45" s="2" t="s">
        <v>2</v>
      </c>
      <c r="T45" s="2" t="s">
        <v>1</v>
      </c>
      <c r="AC45" s="2">
        <f t="shared" si="17"/>
        <v>0.23736079301703741</v>
      </c>
      <c r="AD45" s="2">
        <f t="shared" si="18"/>
        <v>0.29383716744842353</v>
      </c>
      <c r="AE45" s="2">
        <f t="shared" si="18"/>
        <v>0.25134661230768068</v>
      </c>
      <c r="AF45" s="2">
        <f t="shared" si="18"/>
        <v>0.24346978670875877</v>
      </c>
      <c r="AG45" s="2">
        <f t="shared" si="18"/>
        <v>0.19459613853927679</v>
      </c>
      <c r="AH45" s="2">
        <f t="shared" si="18"/>
        <v>0.29639506614008981</v>
      </c>
      <c r="AI45" s="2">
        <f t="shared" si="18"/>
        <v>0.25869580574111156</v>
      </c>
      <c r="AJ45" s="2">
        <f t="shared" si="18"/>
        <v>0.34764354123986047</v>
      </c>
      <c r="AK45" s="2">
        <f t="shared" si="18"/>
        <v>0.30082339162029326</v>
      </c>
      <c r="AL45" s="2">
        <f t="shared" si="18"/>
        <v>0.22355811362342953</v>
      </c>
      <c r="AM45" s="2">
        <f t="shared" si="18"/>
        <v>0.3274094528115572</v>
      </c>
      <c r="AN45" s="2">
        <f t="shared" si="18"/>
        <v>0.17344724388714741</v>
      </c>
      <c r="AO45" s="2">
        <f t="shared" si="18"/>
        <v>0.23442413489519137</v>
      </c>
      <c r="AP45" s="2">
        <f t="shared" si="18"/>
        <v>0.24746631625752771</v>
      </c>
      <c r="AQ45" s="2">
        <f t="shared" si="18"/>
        <v>0.26884575812033912</v>
      </c>
      <c r="AR45" s="2">
        <f t="shared" si="18"/>
        <v>0.31074047333945792</v>
      </c>
      <c r="AS45" s="2">
        <f t="shared" si="18"/>
        <v>0.35571976325865112</v>
      </c>
      <c r="AT45" s="2">
        <f t="shared" si="18"/>
        <v>0.18415404029675309</v>
      </c>
      <c r="AU45" s="2">
        <f t="shared" si="18"/>
        <v>0.35273421132874244</v>
      </c>
      <c r="AV45" s="2">
        <f t="shared" si="18"/>
        <v>0.24868278171611991</v>
      </c>
      <c r="AW45" s="2">
        <f t="shared" si="18"/>
        <v>0.42053688319994315</v>
      </c>
      <c r="AX45" s="2">
        <f t="shared" si="18"/>
        <v>0.28586511014493116</v>
      </c>
      <c r="AY45" s="2">
        <f t="shared" si="18"/>
        <v>0.41904894850690444</v>
      </c>
      <c r="AZ45" s="2">
        <f t="shared" si="18"/>
        <v>0.32813358223779215</v>
      </c>
      <c r="BA45" s="2">
        <f t="shared" si="18"/>
        <v>0.34366886567161103</v>
      </c>
      <c r="BB45" s="2">
        <f t="shared" si="18"/>
        <v>0.32024835362566484</v>
      </c>
      <c r="BC45" s="2">
        <f t="shared" si="18"/>
        <v>0.29629393263673803</v>
      </c>
      <c r="BD45" s="2">
        <f t="shared" si="18"/>
        <v>0.3709344257851494</v>
      </c>
      <c r="BE45" s="2">
        <f t="shared" si="18"/>
        <v>0.33955148852834161</v>
      </c>
      <c r="BF45" s="2">
        <f t="shared" si="18"/>
        <v>0.21044822770743465</v>
      </c>
      <c r="BG45" s="2">
        <f t="shared" si="18"/>
        <v>0.20205826377980057</v>
      </c>
      <c r="BH45" s="2">
        <f t="shared" si="18"/>
        <v>0.23309547839854056</v>
      </c>
      <c r="BI45" s="2">
        <f t="shared" si="18"/>
        <v>0.18135883985267914</v>
      </c>
      <c r="BJ45" s="2">
        <f t="shared" si="18"/>
        <v>0.17858917238268657</v>
      </c>
      <c r="BK45" s="2">
        <f t="shared" si="18"/>
        <v>0.17173050350984309</v>
      </c>
      <c r="BL45" s="2">
        <f t="shared" si="18"/>
        <v>0.23957025446699343</v>
      </c>
      <c r="BM45" s="2">
        <f t="shared" si="18"/>
        <v>0.21232140001174024</v>
      </c>
      <c r="BN45" s="2">
        <f t="shared" si="18"/>
        <v>0.12525078251971161</v>
      </c>
      <c r="BO45" s="2">
        <f t="shared" si="18"/>
        <v>0.21977434354212091</v>
      </c>
      <c r="BP45" s="2">
        <f t="shared" si="18"/>
        <v>0.26371111750523102</v>
      </c>
      <c r="BQ45" s="2">
        <f t="shared" si="18"/>
        <v>0.38827572912743208</v>
      </c>
      <c r="BR45" s="2">
        <f t="shared" si="18"/>
        <v>0.31714902009546925</v>
      </c>
      <c r="BS45" s="2">
        <f t="shared" si="18"/>
        <v>0.30220022139518299</v>
      </c>
      <c r="BT45" s="2">
        <f t="shared" si="18"/>
        <v>0.21189537863137956</v>
      </c>
      <c r="BU45" s="2">
        <f t="shared" si="18"/>
        <v>0.37533277536277071</v>
      </c>
      <c r="BV45" s="2">
        <f t="shared" si="18"/>
        <v>0.35091801294812508</v>
      </c>
      <c r="BW45" s="2">
        <f t="shared" si="18"/>
        <v>0.35511672128573268</v>
      </c>
      <c r="BX45" s="2">
        <f t="shared" si="18"/>
        <v>0.27062716196073933</v>
      </c>
      <c r="BY45" s="2">
        <f t="shared" si="18"/>
        <v>0.24281064630923391</v>
      </c>
      <c r="BZ45" s="2">
        <f t="shared" si="18"/>
        <v>0.44194880601424924</v>
      </c>
      <c r="CE45" s="3"/>
      <c r="CF45" s="3"/>
      <c r="CG45" s="3"/>
      <c r="CH45" s="3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1"/>
    </row>
    <row r="46" spans="1:104" x14ac:dyDescent="0.2">
      <c r="A46">
        <v>7308</v>
      </c>
      <c r="B46" s="2">
        <v>129</v>
      </c>
      <c r="C46" s="2" t="s">
        <v>8</v>
      </c>
      <c r="D46" s="2" t="s">
        <v>258</v>
      </c>
      <c r="E46" s="2" t="s">
        <v>257</v>
      </c>
      <c r="F46" s="2" t="s">
        <v>256</v>
      </c>
      <c r="G46" s="2" t="s">
        <v>255</v>
      </c>
      <c r="H46" s="2">
        <v>2</v>
      </c>
      <c r="I46" s="2" t="s">
        <v>254</v>
      </c>
      <c r="J46" s="2">
        <v>813.55259999999998</v>
      </c>
      <c r="K46" s="2">
        <v>813.55259999999998</v>
      </c>
      <c r="L46" s="2">
        <v>812.5442266</v>
      </c>
      <c r="M46" s="2">
        <v>4.1059999999999999</v>
      </c>
      <c r="N46" s="2">
        <v>4.1100000000000003</v>
      </c>
      <c r="O46" s="2">
        <v>0.85857530812617511</v>
      </c>
      <c r="P46" s="5" t="s">
        <v>157</v>
      </c>
      <c r="Q46" s="2">
        <v>4.7869999999999999</v>
      </c>
      <c r="R46" s="2">
        <v>1</v>
      </c>
      <c r="S46" s="2" t="s">
        <v>2</v>
      </c>
      <c r="T46" s="2" t="s">
        <v>1</v>
      </c>
      <c r="AC46" s="2">
        <f t="shared" si="17"/>
        <v>0.1012382377421028</v>
      </c>
      <c r="AD46" s="2">
        <f t="shared" si="18"/>
        <v>9.6214633573547786E-2</v>
      </c>
      <c r="AE46" s="2">
        <f t="shared" si="18"/>
        <v>0.10089361663652383</v>
      </c>
      <c r="AF46" s="2">
        <f t="shared" si="18"/>
        <v>9.1834826689526042E-2</v>
      </c>
      <c r="AG46" s="2">
        <f t="shared" si="18"/>
        <v>8.7820936589648319E-2</v>
      </c>
      <c r="AH46" s="2">
        <f t="shared" si="18"/>
        <v>0.12133272912521643</v>
      </c>
      <c r="AI46" s="2">
        <f t="shared" si="18"/>
        <v>9.8963205902791562E-2</v>
      </c>
      <c r="AJ46" s="2">
        <f t="shared" si="18"/>
        <v>0.14487443919441648</v>
      </c>
      <c r="AK46" s="2">
        <f t="shared" si="18"/>
        <v>0.1736605247989228</v>
      </c>
      <c r="AL46" s="2">
        <f t="shared" si="18"/>
        <v>0.12119772550549907</v>
      </c>
      <c r="AM46" s="2">
        <f t="shared" si="18"/>
        <v>0.14670504666990619</v>
      </c>
      <c r="AN46" s="2">
        <f t="shared" si="18"/>
        <v>8.7074521756940679E-2</v>
      </c>
      <c r="AO46" s="2">
        <f t="shared" si="18"/>
        <v>0.11703114899553423</v>
      </c>
      <c r="AP46" s="2">
        <f t="shared" si="18"/>
        <v>0.14141507669781056</v>
      </c>
      <c r="AQ46" s="2">
        <f t="shared" si="18"/>
        <v>0.11362685210815834</v>
      </c>
      <c r="AR46" s="2">
        <f t="shared" si="18"/>
        <v>0.12526682533750363</v>
      </c>
      <c r="AS46" s="2">
        <f t="shared" si="18"/>
        <v>0.15507506102082508</v>
      </c>
      <c r="AT46" s="2">
        <f t="shared" si="18"/>
        <v>5.5262829566174239E-2</v>
      </c>
      <c r="AU46" s="2">
        <f t="shared" si="18"/>
        <v>0.13079784305659939</v>
      </c>
      <c r="AV46" s="2">
        <f t="shared" si="18"/>
        <v>9.5198215229228986E-2</v>
      </c>
      <c r="AW46" s="2">
        <f t="shared" si="18"/>
        <v>0.11611790920701123</v>
      </c>
      <c r="AX46" s="2">
        <f t="shared" si="18"/>
        <v>0.15626552208334704</v>
      </c>
      <c r="AY46" s="2">
        <f t="shared" si="18"/>
        <v>0.12256562708383519</v>
      </c>
      <c r="AZ46" s="2">
        <f t="shared" si="18"/>
        <v>0.11359298321984822</v>
      </c>
      <c r="BA46" s="2">
        <f t="shared" si="18"/>
        <v>0.13690488347902954</v>
      </c>
      <c r="BB46" s="2">
        <f t="shared" si="18"/>
        <v>0.15829618332742279</v>
      </c>
      <c r="BC46" s="2">
        <f t="shared" si="18"/>
        <v>0.15239106137318972</v>
      </c>
      <c r="BD46" s="2">
        <f t="shared" si="18"/>
        <v>0.23106980476758215</v>
      </c>
      <c r="BE46" s="2">
        <f t="shared" si="18"/>
        <v>0.18244181248838875</v>
      </c>
      <c r="BF46" s="2">
        <f t="shared" si="18"/>
        <v>0.12403978784689564</v>
      </c>
      <c r="BG46" s="2">
        <f t="shared" si="18"/>
        <v>0.12011318797275078</v>
      </c>
      <c r="BH46" s="2">
        <f t="shared" si="18"/>
        <v>0.1415380625273466</v>
      </c>
      <c r="BI46" s="2">
        <f t="shared" si="18"/>
        <v>0.12113313253092775</v>
      </c>
      <c r="BJ46" s="2">
        <f t="shared" si="18"/>
        <v>0.13590125348732793</v>
      </c>
      <c r="BK46" s="2">
        <f t="shared" si="18"/>
        <v>0.10454388536387779</v>
      </c>
      <c r="BL46" s="2">
        <f t="shared" si="18"/>
        <v>0.14536268863499546</v>
      </c>
      <c r="BM46" s="2">
        <f t="shared" ref="AD46:BZ51" si="19">(BM13/BM$2)*2.00695</f>
        <v>0.14610152610032606</v>
      </c>
      <c r="BN46" s="2">
        <f t="shared" si="19"/>
        <v>9.7055839471322847E-2</v>
      </c>
      <c r="BO46" s="2">
        <f t="shared" si="19"/>
        <v>0.1151570859032602</v>
      </c>
      <c r="BP46" s="2">
        <f t="shared" si="19"/>
        <v>0.18759555335411271</v>
      </c>
      <c r="BQ46" s="2">
        <f t="shared" si="19"/>
        <v>0.21910962212546367</v>
      </c>
      <c r="BR46" s="2">
        <f t="shared" si="19"/>
        <v>0.17965800660563672</v>
      </c>
      <c r="BS46" s="2">
        <f t="shared" si="19"/>
        <v>0.13242927115212322</v>
      </c>
      <c r="BT46" s="2">
        <f t="shared" si="19"/>
        <v>0.11786803992601842</v>
      </c>
      <c r="BU46" s="2">
        <f t="shared" si="19"/>
        <v>0.18124743691455478</v>
      </c>
      <c r="BV46" s="2">
        <f t="shared" si="19"/>
        <v>0.17485714716088072</v>
      </c>
      <c r="BW46" s="2">
        <f t="shared" si="19"/>
        <v>0.15768613256278649</v>
      </c>
      <c r="BX46" s="2">
        <f t="shared" si="19"/>
        <v>0.1372856417336156</v>
      </c>
      <c r="BY46" s="2">
        <f t="shared" si="19"/>
        <v>0.1157583571713633</v>
      </c>
      <c r="BZ46" s="2">
        <f t="shared" si="19"/>
        <v>0.20538131695516729</v>
      </c>
      <c r="CE46" s="3"/>
      <c r="CF46" s="3"/>
      <c r="CG46" s="3"/>
      <c r="CH46" s="3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1"/>
    </row>
    <row r="47" spans="1:104" x14ac:dyDescent="0.2">
      <c r="A47">
        <v>7307</v>
      </c>
      <c r="B47" s="2">
        <v>128</v>
      </c>
      <c r="C47" s="2" t="s">
        <v>8</v>
      </c>
      <c r="D47" s="2" t="s">
        <v>253</v>
      </c>
      <c r="E47" s="2" t="s">
        <v>252</v>
      </c>
      <c r="F47" s="2" t="s">
        <v>251</v>
      </c>
      <c r="G47" s="2" t="s">
        <v>250</v>
      </c>
      <c r="H47" s="2">
        <v>2</v>
      </c>
      <c r="I47" s="2" t="s">
        <v>249</v>
      </c>
      <c r="J47" s="2">
        <v>833.61595</v>
      </c>
      <c r="K47" s="2">
        <v>833.61599999999999</v>
      </c>
      <c r="L47" s="2">
        <v>832.60757660000002</v>
      </c>
      <c r="M47" s="2">
        <v>6.1820000000000004</v>
      </c>
      <c r="N47" s="2">
        <v>6.18</v>
      </c>
      <c r="O47" s="2">
        <v>1.2909964487152705</v>
      </c>
      <c r="P47" s="5" t="s">
        <v>157</v>
      </c>
      <c r="Q47" s="2">
        <v>4.7869999999999999</v>
      </c>
      <c r="R47" s="2">
        <v>1</v>
      </c>
      <c r="S47" s="2" t="s">
        <v>2</v>
      </c>
      <c r="T47" s="2" t="s">
        <v>1</v>
      </c>
      <c r="AC47" s="2">
        <f t="shared" si="17"/>
        <v>1.2334732779621724</v>
      </c>
      <c r="AD47" s="2">
        <f t="shared" si="19"/>
        <v>1.3268833073434076</v>
      </c>
      <c r="AE47" s="2">
        <f t="shared" si="19"/>
        <v>1.1193044803703427</v>
      </c>
      <c r="AF47" s="2">
        <f t="shared" si="19"/>
        <v>1.4937166396104082</v>
      </c>
      <c r="AG47" s="2">
        <f t="shared" si="19"/>
        <v>1.1853263595222754</v>
      </c>
      <c r="AH47" s="2">
        <f t="shared" si="19"/>
        <v>1.5429573598860351</v>
      </c>
      <c r="AI47" s="2">
        <f t="shared" si="19"/>
        <v>1.7282934798475995</v>
      </c>
      <c r="AJ47" s="2">
        <f t="shared" si="19"/>
        <v>1.6002553117894491</v>
      </c>
      <c r="AK47" s="2">
        <f t="shared" si="19"/>
        <v>1.9825100643384985</v>
      </c>
      <c r="AL47" s="2">
        <f t="shared" si="19"/>
        <v>1.5068764671032957</v>
      </c>
      <c r="AM47" s="2">
        <f t="shared" si="19"/>
        <v>3.2876235223083472</v>
      </c>
      <c r="AN47" s="2">
        <f t="shared" si="19"/>
        <v>1.2514197967933645</v>
      </c>
      <c r="AO47" s="2">
        <f t="shared" si="19"/>
        <v>1.4860011744451023</v>
      </c>
      <c r="AP47" s="2">
        <f t="shared" si="19"/>
        <v>1.777632000878778</v>
      </c>
      <c r="AQ47" s="2">
        <f t="shared" si="19"/>
        <v>1.9782477032812156</v>
      </c>
      <c r="AR47" s="2">
        <f t="shared" si="19"/>
        <v>2.0173550222501242</v>
      </c>
      <c r="AS47" s="2">
        <f t="shared" si="19"/>
        <v>2.4947386255579049</v>
      </c>
      <c r="AT47" s="2">
        <f t="shared" si="19"/>
        <v>1.2321207065846973</v>
      </c>
      <c r="AU47" s="2">
        <f t="shared" si="19"/>
        <v>1.9142019019995098</v>
      </c>
      <c r="AV47" s="2">
        <f t="shared" si="19"/>
        <v>1.4453837865460473</v>
      </c>
      <c r="AW47" s="2">
        <f t="shared" si="19"/>
        <v>1.8046592893071907</v>
      </c>
      <c r="AX47" s="2">
        <f t="shared" si="19"/>
        <v>1.6201700441189968</v>
      </c>
      <c r="AY47" s="2">
        <f t="shared" si="19"/>
        <v>1.6663045772150247</v>
      </c>
      <c r="AZ47" s="2">
        <f t="shared" si="19"/>
        <v>1.6693034238049849</v>
      </c>
      <c r="BA47" s="2">
        <f t="shared" si="19"/>
        <v>2.0133515017010435</v>
      </c>
      <c r="BB47" s="2">
        <f t="shared" si="19"/>
        <v>1.7995999506095923</v>
      </c>
      <c r="BC47" s="2">
        <f t="shared" si="19"/>
        <v>1.8685973612371987</v>
      </c>
      <c r="BD47" s="2">
        <f t="shared" si="19"/>
        <v>1.9770365462255721</v>
      </c>
      <c r="BE47" s="2">
        <f t="shared" si="19"/>
        <v>2.0672295304821104</v>
      </c>
      <c r="BF47" s="2">
        <f t="shared" si="19"/>
        <v>1.4238986187365914</v>
      </c>
      <c r="BG47" s="2">
        <f t="shared" si="19"/>
        <v>1.4288549574204414</v>
      </c>
      <c r="BH47" s="2">
        <f t="shared" si="19"/>
        <v>1.5378574384924606</v>
      </c>
      <c r="BI47" s="2">
        <f t="shared" si="19"/>
        <v>1.3739361623532902</v>
      </c>
      <c r="BJ47" s="2">
        <f t="shared" si="19"/>
        <v>1.4388177679512528</v>
      </c>
      <c r="BK47" s="2">
        <f t="shared" si="19"/>
        <v>1.3748010600956013</v>
      </c>
      <c r="BL47" s="2">
        <f t="shared" si="19"/>
        <v>1.6036063070270405</v>
      </c>
      <c r="BM47" s="2">
        <f t="shared" si="19"/>
        <v>1.7785918790773556</v>
      </c>
      <c r="BN47" s="2">
        <f t="shared" si="19"/>
        <v>1.2020330857368684</v>
      </c>
      <c r="BO47" s="2">
        <f t="shared" si="19"/>
        <v>1.4989110211467802</v>
      </c>
      <c r="BP47" s="2">
        <f t="shared" si="19"/>
        <v>2.264156755088317</v>
      </c>
      <c r="BQ47" s="2">
        <f t="shared" si="19"/>
        <v>2.0349683918670731</v>
      </c>
      <c r="BR47" s="2">
        <f t="shared" si="19"/>
        <v>1.8776307002125465</v>
      </c>
      <c r="BS47" s="2">
        <f t="shared" si="19"/>
        <v>1.82633590164</v>
      </c>
      <c r="BT47" s="2">
        <f t="shared" si="19"/>
        <v>1.1875470559460157</v>
      </c>
      <c r="BU47" s="2">
        <f t="shared" si="19"/>
        <v>2.430430940780024</v>
      </c>
      <c r="BV47" s="2">
        <f t="shared" si="19"/>
        <v>1.8648422314394375</v>
      </c>
      <c r="BW47" s="2">
        <f t="shared" si="19"/>
        <v>2.1829604403489422</v>
      </c>
      <c r="BX47" s="2">
        <f t="shared" si="19"/>
        <v>1.7424360350555603</v>
      </c>
      <c r="BY47" s="2">
        <f t="shared" si="19"/>
        <v>1.6705293198072042</v>
      </c>
      <c r="BZ47" s="2">
        <f t="shared" si="19"/>
        <v>2.5051675901359074</v>
      </c>
      <c r="CE47" s="3"/>
      <c r="CF47" s="3"/>
      <c r="CG47" s="3"/>
      <c r="CH47" s="3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1"/>
    </row>
    <row r="48" spans="1:104" x14ac:dyDescent="0.2">
      <c r="A48">
        <v>7306</v>
      </c>
      <c r="B48" s="2">
        <v>127</v>
      </c>
      <c r="C48" s="2" t="s">
        <v>8</v>
      </c>
      <c r="D48" s="2" t="s">
        <v>248</v>
      </c>
      <c r="E48" s="2" t="s">
        <v>247</v>
      </c>
      <c r="F48" s="2" t="s">
        <v>246</v>
      </c>
      <c r="G48" s="2" t="s">
        <v>245</v>
      </c>
      <c r="H48" s="2">
        <v>2</v>
      </c>
      <c r="I48" s="2" t="s">
        <v>244</v>
      </c>
      <c r="J48" s="2">
        <v>831.60090000000002</v>
      </c>
      <c r="K48" s="2">
        <v>831.60090000000002</v>
      </c>
      <c r="L48" s="2">
        <v>830.59252660000004</v>
      </c>
      <c r="M48" s="2">
        <v>5.4889999999999999</v>
      </c>
      <c r="N48" s="2">
        <v>5.49</v>
      </c>
      <c r="O48" s="2">
        <v>1.1468560685189055</v>
      </c>
      <c r="P48" s="5" t="s">
        <v>157</v>
      </c>
      <c r="Q48" s="2">
        <v>4.7869999999999999</v>
      </c>
      <c r="R48" s="2">
        <v>1</v>
      </c>
      <c r="S48" s="2" t="s">
        <v>2</v>
      </c>
      <c r="T48" s="2" t="s">
        <v>1</v>
      </c>
      <c r="AC48" s="2">
        <f t="shared" si="17"/>
        <v>5.0739600440525967</v>
      </c>
      <c r="AD48" s="2">
        <f t="shared" si="19"/>
        <v>6.3729328048070748</v>
      </c>
      <c r="AE48" s="2">
        <f t="shared" si="19"/>
        <v>5.4356688668455053</v>
      </c>
      <c r="AF48" s="2">
        <f t="shared" si="19"/>
        <v>5.6882915941897689</v>
      </c>
      <c r="AG48" s="2">
        <f t="shared" si="19"/>
        <v>5.087292964850727</v>
      </c>
      <c r="AH48" s="2">
        <f t="shared" si="19"/>
        <v>6.7090488664269365</v>
      </c>
      <c r="AI48" s="2">
        <f t="shared" si="19"/>
        <v>5.8867608073565991</v>
      </c>
      <c r="AJ48" s="2">
        <f t="shared" si="19"/>
        <v>7.0056823313464198</v>
      </c>
      <c r="AK48" s="2">
        <f t="shared" si="19"/>
        <v>6.9777375630330161</v>
      </c>
      <c r="AL48" s="2">
        <f t="shared" si="19"/>
        <v>4.9930949045374167</v>
      </c>
      <c r="AM48" s="2">
        <f t="shared" si="19"/>
        <v>9.2919131780046076</v>
      </c>
      <c r="AN48" s="2">
        <f t="shared" si="19"/>
        <v>4.3248325058234558</v>
      </c>
      <c r="AO48" s="2">
        <f t="shared" si="19"/>
        <v>5.6803507486965747</v>
      </c>
      <c r="AP48" s="2">
        <f t="shared" si="19"/>
        <v>6.1155298882701805</v>
      </c>
      <c r="AQ48" s="2">
        <f t="shared" si="19"/>
        <v>6.5003267122071433</v>
      </c>
      <c r="AR48" s="2">
        <f t="shared" si="19"/>
        <v>8.4114776331501275</v>
      </c>
      <c r="AS48" s="2">
        <f t="shared" si="19"/>
        <v>9.2340839923926676</v>
      </c>
      <c r="AT48" s="2">
        <f t="shared" si="19"/>
        <v>6.1197885475443439</v>
      </c>
      <c r="AU48" s="2">
        <f t="shared" si="19"/>
        <v>8.6846866735107948</v>
      </c>
      <c r="AV48" s="2">
        <f t="shared" si="19"/>
        <v>6.5272815522247658</v>
      </c>
      <c r="AW48" s="2">
        <f t="shared" si="19"/>
        <v>9.5351627075935141</v>
      </c>
      <c r="AX48" s="2">
        <f t="shared" si="19"/>
        <v>6.4442564728975942</v>
      </c>
      <c r="AY48" s="2">
        <f t="shared" si="19"/>
        <v>8.4937196623671944</v>
      </c>
      <c r="AZ48" s="2">
        <f t="shared" si="19"/>
        <v>7.5712350852361539</v>
      </c>
      <c r="BA48" s="2">
        <f t="shared" si="19"/>
        <v>8.3798992900702469</v>
      </c>
      <c r="BB48" s="2">
        <f t="shared" si="19"/>
        <v>6.5966436061142852</v>
      </c>
      <c r="BC48" s="2">
        <f t="shared" si="19"/>
        <v>7.0383311881010409</v>
      </c>
      <c r="BD48" s="2">
        <f t="shared" si="19"/>
        <v>6.9611068216581709</v>
      </c>
      <c r="BE48" s="2">
        <f t="shared" si="19"/>
        <v>7.8454847142461146</v>
      </c>
      <c r="BF48" s="2">
        <f t="shared" si="19"/>
        <v>5.0390910931778148</v>
      </c>
      <c r="BG48" s="2">
        <f t="shared" si="19"/>
        <v>5.2137604366772887</v>
      </c>
      <c r="BH48" s="2">
        <f t="shared" si="19"/>
        <v>5.7527637210272387</v>
      </c>
      <c r="BI48" s="2">
        <f t="shared" si="19"/>
        <v>4.5207554241248182</v>
      </c>
      <c r="BJ48" s="2">
        <f t="shared" si="19"/>
        <v>4.7527695746338603</v>
      </c>
      <c r="BK48" s="2">
        <f t="shared" si="19"/>
        <v>5.0047753346461734</v>
      </c>
      <c r="BL48" s="2">
        <f t="shared" si="19"/>
        <v>5.7675988872966917</v>
      </c>
      <c r="BM48" s="2">
        <f t="shared" si="19"/>
        <v>5.4429818753346337</v>
      </c>
      <c r="BN48" s="2">
        <f t="shared" si="19"/>
        <v>3.9366126199374478</v>
      </c>
      <c r="BO48" s="2">
        <f t="shared" si="19"/>
        <v>5.8174437610404368</v>
      </c>
      <c r="BP48" s="2">
        <f t="shared" si="19"/>
        <v>6.5235410817794239</v>
      </c>
      <c r="BQ48" s="2">
        <f t="shared" si="19"/>
        <v>7.4826858784360732</v>
      </c>
      <c r="BR48" s="2">
        <f t="shared" si="19"/>
        <v>8.0717420840314382</v>
      </c>
      <c r="BS48" s="2">
        <f t="shared" si="19"/>
        <v>7.9794265227255803</v>
      </c>
      <c r="BT48" s="2">
        <f t="shared" si="19"/>
        <v>5.6244415742767044</v>
      </c>
      <c r="BU48" s="2">
        <f t="shared" si="19"/>
        <v>9.4143075366894085</v>
      </c>
      <c r="BV48" s="2">
        <f t="shared" si="19"/>
        <v>7.5214092238192638</v>
      </c>
      <c r="BW48" s="2">
        <f t="shared" si="19"/>
        <v>8.5886189200797372</v>
      </c>
      <c r="BX48" s="2">
        <f t="shared" si="19"/>
        <v>6.6964520286082987</v>
      </c>
      <c r="BY48" s="2">
        <f t="shared" si="19"/>
        <v>6.5426122999085026</v>
      </c>
      <c r="BZ48" s="2">
        <f t="shared" si="19"/>
        <v>10.473651493266559</v>
      </c>
      <c r="CE48" s="3"/>
      <c r="CF48" s="3"/>
      <c r="CG48" s="3"/>
      <c r="CH48" s="3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1"/>
    </row>
    <row r="49" spans="1:104" x14ac:dyDescent="0.2">
      <c r="A49">
        <v>7304</v>
      </c>
      <c r="B49" s="2">
        <v>125</v>
      </c>
      <c r="C49" s="2" t="s">
        <v>8</v>
      </c>
      <c r="D49" s="2" t="s">
        <v>243</v>
      </c>
      <c r="E49" s="2" t="s">
        <v>242</v>
      </c>
      <c r="F49" s="2" t="s">
        <v>239</v>
      </c>
      <c r="G49" s="2" t="s">
        <v>238</v>
      </c>
      <c r="H49" s="2">
        <v>2</v>
      </c>
      <c r="I49" s="2" t="s">
        <v>237</v>
      </c>
      <c r="J49" s="2">
        <v>829.58408999999995</v>
      </c>
      <c r="K49" s="2">
        <v>829.58410000000003</v>
      </c>
      <c r="L49" s="2">
        <v>828.57571659999996</v>
      </c>
      <c r="M49" s="2">
        <v>4.6550000000000002</v>
      </c>
      <c r="N49" s="2">
        <v>4.66</v>
      </c>
      <c r="O49" s="2">
        <v>0.97346981407979949</v>
      </c>
      <c r="P49" s="5" t="s">
        <v>157</v>
      </c>
      <c r="Q49" s="2">
        <v>4.7869999999999999</v>
      </c>
      <c r="R49" s="2">
        <v>1</v>
      </c>
      <c r="S49" s="2" t="s">
        <v>2</v>
      </c>
      <c r="T49" s="2" t="s">
        <v>1</v>
      </c>
      <c r="AC49" s="2">
        <f t="shared" si="17"/>
        <v>1.9766685467819414</v>
      </c>
      <c r="AD49" s="2">
        <f t="shared" si="19"/>
        <v>2.2710593277050788</v>
      </c>
      <c r="AE49" s="2">
        <f t="shared" si="19"/>
        <v>2.0629643014111707</v>
      </c>
      <c r="AF49" s="2">
        <f t="shared" si="19"/>
        <v>2.0948301102406144</v>
      </c>
      <c r="AG49" s="2">
        <f t="shared" si="19"/>
        <v>1.7610178350284957</v>
      </c>
      <c r="AH49" s="2">
        <f t="shared" si="19"/>
        <v>2.6025416821818834</v>
      </c>
      <c r="AI49" s="2">
        <f t="shared" si="19"/>
        <v>2.106686770760799</v>
      </c>
      <c r="AJ49" s="2">
        <f t="shared" si="19"/>
        <v>2.6277268858534661</v>
      </c>
      <c r="AK49" s="2">
        <f t="shared" si="19"/>
        <v>2.6704214162112931</v>
      </c>
      <c r="AL49" s="2">
        <f t="shared" si="19"/>
        <v>2.160176365005102</v>
      </c>
      <c r="AM49" s="2">
        <f t="shared" si="19"/>
        <v>3.1783409730346879</v>
      </c>
      <c r="AN49" s="2">
        <f t="shared" si="19"/>
        <v>1.6623001640614794</v>
      </c>
      <c r="AO49" s="2">
        <f t="shared" si="19"/>
        <v>2.0577590455620811</v>
      </c>
      <c r="AP49" s="2">
        <f t="shared" si="19"/>
        <v>2.4063844322127648</v>
      </c>
      <c r="AQ49" s="2">
        <f t="shared" si="19"/>
        <v>2.345972766279365</v>
      </c>
      <c r="AR49" s="2">
        <f t="shared" si="19"/>
        <v>2.74612740901091</v>
      </c>
      <c r="AS49" s="2">
        <f t="shared" si="19"/>
        <v>3.0793872993923386</v>
      </c>
      <c r="AT49" s="2">
        <f t="shared" si="19"/>
        <v>1.9511185020732846</v>
      </c>
      <c r="AU49" s="2">
        <f t="shared" si="19"/>
        <v>2.785644541012509</v>
      </c>
      <c r="AV49" s="2">
        <f t="shared" si="19"/>
        <v>1.9729086513127305</v>
      </c>
      <c r="AW49" s="2">
        <f t="shared" si="19"/>
        <v>3.1656697461923677</v>
      </c>
      <c r="AX49" s="2">
        <f t="shared" si="19"/>
        <v>2.5001992801404973</v>
      </c>
      <c r="AY49" s="2">
        <f t="shared" si="19"/>
        <v>3.0382267348166208</v>
      </c>
      <c r="AZ49" s="2">
        <f t="shared" si="19"/>
        <v>2.7871474686348736</v>
      </c>
      <c r="BA49" s="2">
        <f t="shared" si="19"/>
        <v>2.8138853800257513</v>
      </c>
      <c r="BB49" s="2">
        <f t="shared" si="19"/>
        <v>2.5414136726829915</v>
      </c>
      <c r="BC49" s="2">
        <f t="shared" si="19"/>
        <v>2.6996386153629826</v>
      </c>
      <c r="BD49" s="2">
        <f t="shared" si="19"/>
        <v>2.5158595331873514</v>
      </c>
      <c r="BE49" s="2">
        <f t="shared" si="19"/>
        <v>2.8029835402537651</v>
      </c>
      <c r="BF49" s="2">
        <f t="shared" si="19"/>
        <v>1.8166935872057839</v>
      </c>
      <c r="BG49" s="2">
        <f t="shared" si="19"/>
        <v>1.9096463290259698</v>
      </c>
      <c r="BH49" s="2">
        <f t="shared" si="19"/>
        <v>2.1094546904593083</v>
      </c>
      <c r="BI49" s="2">
        <f t="shared" si="19"/>
        <v>1.7314066845308405</v>
      </c>
      <c r="BJ49" s="2">
        <f t="shared" si="19"/>
        <v>1.9364388503814376</v>
      </c>
      <c r="BK49" s="2">
        <f t="shared" si="19"/>
        <v>1.8237121672670138</v>
      </c>
      <c r="BL49" s="2">
        <f t="shared" si="19"/>
        <v>2.1766962840122992</v>
      </c>
      <c r="BM49" s="2">
        <f t="shared" si="19"/>
        <v>2.1814888060352859</v>
      </c>
      <c r="BN49" s="2">
        <f t="shared" si="19"/>
        <v>1.5427588937468208</v>
      </c>
      <c r="BO49" s="2">
        <f t="shared" si="19"/>
        <v>2.2118200996990667</v>
      </c>
      <c r="BP49" s="2">
        <f t="shared" si="19"/>
        <v>2.4764836310470235</v>
      </c>
      <c r="BQ49" s="2">
        <f t="shared" si="19"/>
        <v>2.9765004021044907</v>
      </c>
      <c r="BR49" s="2">
        <f t="shared" si="19"/>
        <v>2.5498548341349299</v>
      </c>
      <c r="BS49" s="2">
        <f t="shared" si="19"/>
        <v>2.7073405459683979</v>
      </c>
      <c r="BT49" s="2">
        <f t="shared" si="19"/>
        <v>1.9254603316196348</v>
      </c>
      <c r="BU49" s="2">
        <f t="shared" si="19"/>
        <v>3.3755235545846998</v>
      </c>
      <c r="BV49" s="2">
        <f t="shared" si="19"/>
        <v>2.7115830476662901</v>
      </c>
      <c r="BW49" s="2">
        <f t="shared" si="19"/>
        <v>2.9153171976381125</v>
      </c>
      <c r="BX49" s="2">
        <f t="shared" si="19"/>
        <v>2.4613080911490988</v>
      </c>
      <c r="BY49" s="2">
        <f t="shared" si="19"/>
        <v>2.2602648577276807</v>
      </c>
      <c r="BZ49" s="2">
        <f t="shared" si="19"/>
        <v>3.2033836684184176</v>
      </c>
      <c r="CE49" s="3"/>
      <c r="CF49" s="3"/>
      <c r="CG49" s="3"/>
      <c r="CH49" s="3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1"/>
    </row>
    <row r="50" spans="1:104" x14ac:dyDescent="0.2">
      <c r="A50">
        <v>7305</v>
      </c>
      <c r="B50" s="2">
        <v>126</v>
      </c>
      <c r="C50" s="2" t="s">
        <v>8</v>
      </c>
      <c r="D50" s="2" t="s">
        <v>241</v>
      </c>
      <c r="E50" s="2" t="s">
        <v>240</v>
      </c>
      <c r="F50" s="2" t="s">
        <v>239</v>
      </c>
      <c r="G50" s="2" t="s">
        <v>238</v>
      </c>
      <c r="H50" s="2">
        <v>2</v>
      </c>
      <c r="I50" s="2" t="s">
        <v>237</v>
      </c>
      <c r="J50" s="2">
        <v>829.58407</v>
      </c>
      <c r="K50" s="2">
        <v>829.58410000000003</v>
      </c>
      <c r="L50" s="2">
        <v>828.57569660000001</v>
      </c>
      <c r="M50" s="2">
        <v>4.806</v>
      </c>
      <c r="N50" s="2">
        <v>4.8099999999999996</v>
      </c>
      <c r="O50" s="2">
        <v>1.0048046793398788</v>
      </c>
      <c r="P50" s="5" t="s">
        <v>157</v>
      </c>
      <c r="Q50" s="2">
        <v>4.7869999999999999</v>
      </c>
      <c r="R50" s="2">
        <v>1</v>
      </c>
      <c r="S50" s="2" t="s">
        <v>2</v>
      </c>
      <c r="T50" s="2" t="s">
        <v>1</v>
      </c>
      <c r="AC50" s="2">
        <f t="shared" si="17"/>
        <v>1.0597964410773508</v>
      </c>
      <c r="AD50" s="2">
        <f t="shared" si="19"/>
        <v>1.4166440691303051</v>
      </c>
      <c r="AE50" s="2">
        <f t="shared" si="19"/>
        <v>1.20792434561111</v>
      </c>
      <c r="AF50" s="2">
        <f t="shared" si="19"/>
        <v>0.80392334916532648</v>
      </c>
      <c r="AG50" s="2">
        <f t="shared" si="19"/>
        <v>1.1011743900422715</v>
      </c>
      <c r="AH50" s="2">
        <f t="shared" si="19"/>
        <v>1.1337270997121063</v>
      </c>
      <c r="AI50" s="2">
        <f t="shared" si="19"/>
        <v>1.1276205156966599</v>
      </c>
      <c r="AJ50" s="2">
        <f t="shared" si="19"/>
        <v>1.0767815182853395</v>
      </c>
      <c r="AK50" s="2">
        <f t="shared" si="19"/>
        <v>1.0705582013314927</v>
      </c>
      <c r="AL50" s="2">
        <f t="shared" si="19"/>
        <v>0.91849228083423262</v>
      </c>
      <c r="AM50" s="2">
        <f t="shared" si="19"/>
        <v>1.1880926756730137</v>
      </c>
      <c r="AN50" s="2">
        <f t="shared" si="19"/>
        <v>0.61241207408882992</v>
      </c>
      <c r="AO50" s="2">
        <f t="shared" si="19"/>
        <v>0.92655223824738719</v>
      </c>
      <c r="AP50" s="2">
        <f t="shared" si="19"/>
        <v>0.94382273303774111</v>
      </c>
      <c r="AQ50" s="2">
        <f t="shared" si="19"/>
        <v>0.99906399765682363</v>
      </c>
      <c r="AR50" s="2">
        <f t="shared" si="19"/>
        <v>1.0061519202020053</v>
      </c>
      <c r="AS50" s="2">
        <f t="shared" si="19"/>
        <v>1.2731426375436357</v>
      </c>
      <c r="AT50" s="2">
        <f t="shared" si="19"/>
        <v>0.66837422272800706</v>
      </c>
      <c r="AU50" s="2">
        <f t="shared" si="19"/>
        <v>1.1751138411027431</v>
      </c>
      <c r="AV50" s="2">
        <f t="shared" si="19"/>
        <v>0.99538882309502075</v>
      </c>
      <c r="AW50" s="2">
        <f t="shared" si="19"/>
        <v>1.3995018132621189</v>
      </c>
      <c r="AX50" s="2">
        <f t="shared" si="19"/>
        <v>1.3198346417731248</v>
      </c>
      <c r="AY50" s="2">
        <f t="shared" si="19"/>
        <v>0.93964999496576862</v>
      </c>
      <c r="AZ50" s="2">
        <f t="shared" si="19"/>
        <v>1.0086237230973254</v>
      </c>
      <c r="BA50" s="2">
        <f t="shared" si="19"/>
        <v>1.1060696355672222</v>
      </c>
      <c r="BB50" s="2">
        <f t="shared" si="19"/>
        <v>1.0770224839303335</v>
      </c>
      <c r="BC50" s="2">
        <f t="shared" si="19"/>
        <v>0.80585473499991089</v>
      </c>
      <c r="BD50" s="2">
        <f t="shared" si="19"/>
        <v>0.94196890281570089</v>
      </c>
      <c r="BE50" s="2">
        <f t="shared" si="19"/>
        <v>1.3519770546841974</v>
      </c>
      <c r="BF50" s="2">
        <f t="shared" si="19"/>
        <v>0.71180389186867565</v>
      </c>
      <c r="BG50" s="2">
        <f t="shared" si="19"/>
        <v>0.72785703081870612</v>
      </c>
      <c r="BH50" s="2">
        <f t="shared" si="19"/>
        <v>0.6298947922999697</v>
      </c>
      <c r="BI50" s="2">
        <f t="shared" si="19"/>
        <v>0.68894354968347282</v>
      </c>
      <c r="BJ50" s="2">
        <f t="shared" si="19"/>
        <v>0.70674188828605156</v>
      </c>
      <c r="BK50" s="2">
        <f t="shared" si="19"/>
        <v>0.60780074828146669</v>
      </c>
      <c r="BL50" s="2">
        <f t="shared" si="19"/>
        <v>0.81027318616679822</v>
      </c>
      <c r="BM50" s="2">
        <f t="shared" si="19"/>
        <v>0.690224663164414</v>
      </c>
      <c r="BN50" s="2">
        <f t="shared" si="19"/>
        <v>0.68104098882072495</v>
      </c>
      <c r="BO50" s="2">
        <f t="shared" si="19"/>
        <v>0.63501755300268703</v>
      </c>
      <c r="BP50" s="2">
        <f t="shared" si="19"/>
        <v>0.86891165673857507</v>
      </c>
      <c r="BQ50" s="2">
        <f t="shared" si="19"/>
        <v>1.3158328312021519</v>
      </c>
      <c r="BR50" s="2">
        <f t="shared" si="19"/>
        <v>0.86373672957361214</v>
      </c>
      <c r="BS50" s="2">
        <f t="shared" si="19"/>
        <v>0.85762358661101579</v>
      </c>
      <c r="BT50" s="2">
        <f t="shared" si="19"/>
        <v>0.9428623999355612</v>
      </c>
      <c r="BU50" s="2">
        <f t="shared" si="19"/>
        <v>1.188014931656048</v>
      </c>
      <c r="BV50" s="2">
        <f t="shared" si="19"/>
        <v>0.96736711824721855</v>
      </c>
      <c r="BW50" s="2">
        <f t="shared" si="19"/>
        <v>0.6736564163425427</v>
      </c>
      <c r="BX50" s="2">
        <f t="shared" si="19"/>
        <v>0.66779006697554455</v>
      </c>
      <c r="BY50" s="2">
        <f t="shared" si="19"/>
        <v>0.77387398877042712</v>
      </c>
      <c r="BZ50" s="2">
        <f t="shared" si="19"/>
        <v>1.0027603225847934</v>
      </c>
      <c r="CE50" s="3"/>
      <c r="CF50" s="3"/>
      <c r="CG50" s="3"/>
      <c r="CH50" s="3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1"/>
    </row>
    <row r="51" spans="1:104" x14ac:dyDescent="0.2">
      <c r="A51">
        <v>7303</v>
      </c>
      <c r="B51" s="2">
        <v>124</v>
      </c>
      <c r="C51" s="2" t="s">
        <v>8</v>
      </c>
      <c r="D51" s="2" t="s">
        <v>236</v>
      </c>
      <c r="E51" s="2" t="s">
        <v>235</v>
      </c>
      <c r="F51" s="2" t="s">
        <v>234</v>
      </c>
      <c r="G51" s="2" t="s">
        <v>233</v>
      </c>
      <c r="H51" s="2">
        <v>2</v>
      </c>
      <c r="I51" s="2" t="s">
        <v>228</v>
      </c>
      <c r="J51" s="2">
        <v>827.56931999999995</v>
      </c>
      <c r="K51" s="2">
        <v>827.5693</v>
      </c>
      <c r="L51" s="2">
        <v>826.56094659999997</v>
      </c>
      <c r="M51" s="2">
        <v>4.4720000000000004</v>
      </c>
      <c r="N51" s="2">
        <v>4.47</v>
      </c>
      <c r="O51" s="2">
        <v>0.93377898475036558</v>
      </c>
      <c r="P51" s="5" t="s">
        <v>157</v>
      </c>
      <c r="Q51" s="2">
        <v>4.7869999999999999</v>
      </c>
      <c r="R51" s="2">
        <v>1</v>
      </c>
      <c r="S51" s="2" t="s">
        <v>2</v>
      </c>
      <c r="T51" s="2" t="s">
        <v>1</v>
      </c>
      <c r="AC51" s="2">
        <f t="shared" si="17"/>
        <v>23.004574753169202</v>
      </c>
      <c r="AD51" s="2">
        <f t="shared" si="19"/>
        <v>24.687808851934008</v>
      </c>
      <c r="AE51" s="2">
        <f t="shared" si="19"/>
        <v>22.068530396680231</v>
      </c>
      <c r="AF51" s="2">
        <f t="shared" si="19"/>
        <v>23.406324559054422</v>
      </c>
      <c r="AG51" s="2">
        <f t="shared" si="19"/>
        <v>22.887504241425656</v>
      </c>
      <c r="AH51" s="2">
        <f t="shared" si="19"/>
        <v>26.135466062685875</v>
      </c>
      <c r="AI51" s="2">
        <f t="shared" si="19"/>
        <v>27.035111290773184</v>
      </c>
      <c r="AJ51" s="2">
        <f t="shared" si="19"/>
        <v>27.390089929417975</v>
      </c>
      <c r="AK51" s="2">
        <f t="shared" si="19"/>
        <v>30.213431540895016</v>
      </c>
      <c r="AL51" s="2">
        <f t="shared" si="19"/>
        <v>25.643673890635423</v>
      </c>
      <c r="AM51" s="2">
        <f t="shared" si="19"/>
        <v>30.106798158270696</v>
      </c>
      <c r="AN51" s="2">
        <f t="shared" si="19"/>
        <v>19.272550088372476</v>
      </c>
      <c r="AO51" s="2">
        <f t="shared" si="19"/>
        <v>25.939102134284941</v>
      </c>
      <c r="AP51" s="2">
        <f t="shared" si="19"/>
        <v>27.038487618287231</v>
      </c>
      <c r="AQ51" s="2">
        <f t="shared" si="19"/>
        <v>24.747499241657113</v>
      </c>
      <c r="AR51" s="2">
        <f t="shared" si="19"/>
        <v>24.659001625571783</v>
      </c>
      <c r="AS51" s="2">
        <f t="shared" si="19"/>
        <v>30.652154870299928</v>
      </c>
      <c r="AT51" s="2">
        <f t="shared" si="19"/>
        <v>14.770519973394919</v>
      </c>
      <c r="AU51" s="2">
        <f t="shared" si="19"/>
        <v>25.094824514761985</v>
      </c>
      <c r="AV51" s="2">
        <f t="shared" si="19"/>
        <v>21.477949377985773</v>
      </c>
      <c r="AW51" s="2">
        <f t="shared" si="19"/>
        <v>23.946752421273761</v>
      </c>
      <c r="AX51" s="2">
        <f t="shared" si="19"/>
        <v>31.390829599561783</v>
      </c>
      <c r="AY51" s="2">
        <f t="shared" si="19"/>
        <v>23.029557212499743</v>
      </c>
      <c r="AZ51" s="2">
        <f t="shared" si="19"/>
        <v>23.611258312317126</v>
      </c>
      <c r="BA51" s="2">
        <f t="shared" si="19"/>
        <v>26.814055255996678</v>
      </c>
      <c r="BB51" s="2">
        <f t="shared" si="19"/>
        <v>29.596289123026509</v>
      </c>
      <c r="BC51" s="2">
        <f t="shared" si="19"/>
        <v>28.820780082699592</v>
      </c>
      <c r="BD51" s="2">
        <f t="shared" si="19"/>
        <v>36.115637058473609</v>
      </c>
      <c r="BE51" s="2">
        <f t="shared" si="19"/>
        <v>35.781912845626934</v>
      </c>
      <c r="BF51" s="2">
        <f t="shared" si="19"/>
        <v>25.626923489035331</v>
      </c>
      <c r="BG51" s="2">
        <f t="shared" si="19"/>
        <v>23.292460759635503</v>
      </c>
      <c r="BH51" s="2">
        <f t="shared" si="19"/>
        <v>26.277454830804047</v>
      </c>
      <c r="BI51" s="2">
        <f t="shared" si="19"/>
        <v>23.799619136723383</v>
      </c>
      <c r="BJ51" s="2">
        <f t="shared" si="19"/>
        <v>25.54939194643908</v>
      </c>
      <c r="BK51" s="2">
        <f t="shared" si="19"/>
        <v>22.101936360287269</v>
      </c>
      <c r="BL51" s="2">
        <f t="shared" si="19"/>
        <v>27.163635842385691</v>
      </c>
      <c r="BM51" s="2">
        <f t="shared" si="19"/>
        <v>26.471412504138769</v>
      </c>
      <c r="BN51" s="2">
        <f t="shared" si="19"/>
        <v>21.45937995585215</v>
      </c>
      <c r="BO51" s="2">
        <f t="shared" si="19"/>
        <v>21.872550708405615</v>
      </c>
      <c r="BP51" s="2">
        <f t="shared" si="19"/>
        <v>32.858330351903817</v>
      </c>
      <c r="BQ51" s="2">
        <f t="shared" si="19"/>
        <v>34.799276674314953</v>
      </c>
      <c r="BR51" s="2">
        <f t="shared" si="19"/>
        <v>26.260523749296848</v>
      </c>
      <c r="BS51" s="2">
        <f t="shared" si="19"/>
        <v>23.006483025133342</v>
      </c>
      <c r="BT51" s="2">
        <f t="shared" si="19"/>
        <v>23.873781182151724</v>
      </c>
      <c r="BU51" s="2">
        <f t="shared" si="19"/>
        <v>31.289014158442001</v>
      </c>
      <c r="BV51" s="2">
        <f t="shared" si="19"/>
        <v>26.451140591168322</v>
      </c>
      <c r="BW51" s="2">
        <f t="shared" ref="AD51:BZ57" si="20">(BW18/BW$2)*2.00695</f>
        <v>26.41719516872077</v>
      </c>
      <c r="BX51" s="2">
        <f t="shared" si="20"/>
        <v>23.731774365403748</v>
      </c>
      <c r="BY51" s="2">
        <f t="shared" si="20"/>
        <v>20.57290091489628</v>
      </c>
      <c r="BZ51" s="2">
        <f t="shared" si="20"/>
        <v>33.095379966061245</v>
      </c>
      <c r="CE51" s="3"/>
      <c r="CF51" s="3"/>
      <c r="CG51" s="3"/>
      <c r="CH51" s="3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1"/>
    </row>
    <row r="52" spans="1:104" x14ac:dyDescent="0.2">
      <c r="A52">
        <v>7302</v>
      </c>
      <c r="B52" s="2">
        <v>122</v>
      </c>
      <c r="C52" s="2" t="s">
        <v>8</v>
      </c>
      <c r="D52" s="2" t="s">
        <v>232</v>
      </c>
      <c r="E52" s="2" t="s">
        <v>231</v>
      </c>
      <c r="F52" s="2" t="s">
        <v>230</v>
      </c>
      <c r="G52" s="2" t="s">
        <v>229</v>
      </c>
      <c r="H52" s="2">
        <v>2</v>
      </c>
      <c r="I52" s="2" t="s">
        <v>228</v>
      </c>
      <c r="J52" s="2">
        <v>827.56930999999997</v>
      </c>
      <c r="K52" s="2">
        <v>827.5693</v>
      </c>
      <c r="L52" s="2">
        <v>826.56093659999999</v>
      </c>
      <c r="M52" s="2">
        <v>4.0819999999999999</v>
      </c>
      <c r="N52" s="2">
        <v>4.08</v>
      </c>
      <c r="O52" s="2">
        <v>0.85230833507415926</v>
      </c>
      <c r="P52" s="5" t="s">
        <v>157</v>
      </c>
      <c r="Q52" s="2">
        <v>4.7869999999999999</v>
      </c>
      <c r="R52" s="2">
        <v>1</v>
      </c>
      <c r="S52" s="2" t="s">
        <v>2</v>
      </c>
      <c r="T52" s="2" t="s">
        <v>1</v>
      </c>
      <c r="AC52" s="2">
        <f t="shared" si="17"/>
        <v>0.95269263303278195</v>
      </c>
      <c r="AD52" s="2">
        <f t="shared" si="20"/>
        <v>1.2281241599724666</v>
      </c>
      <c r="AE52" s="2">
        <f t="shared" si="20"/>
        <v>1.0600083560200866</v>
      </c>
      <c r="AF52" s="2">
        <f t="shared" si="20"/>
        <v>1.069237865943089</v>
      </c>
      <c r="AG52" s="2">
        <f t="shared" si="20"/>
        <v>0.84334064353130755</v>
      </c>
      <c r="AH52" s="2">
        <f t="shared" si="20"/>
        <v>1.3925329008434562</v>
      </c>
      <c r="AI52" s="2">
        <f t="shared" si="20"/>
        <v>1.2136212864029166</v>
      </c>
      <c r="AJ52" s="2">
        <f t="shared" si="20"/>
        <v>1.4243230514683938</v>
      </c>
      <c r="AK52" s="2">
        <f t="shared" si="20"/>
        <v>1.4188766653435865</v>
      </c>
      <c r="AL52" s="2">
        <f t="shared" si="20"/>
        <v>0.97902564154669913</v>
      </c>
      <c r="AM52" s="2">
        <f t="shared" si="20"/>
        <v>1.8394759410689052</v>
      </c>
      <c r="AN52" s="2">
        <f t="shared" si="20"/>
        <v>0.84067805356339675</v>
      </c>
      <c r="AO52" s="2">
        <f t="shared" si="20"/>
        <v>1.0186901672801674</v>
      </c>
      <c r="AP52" s="2">
        <f t="shared" si="20"/>
        <v>1.0715295908011013</v>
      </c>
      <c r="AQ52" s="2">
        <f t="shared" si="20"/>
        <v>1.1469840811623535</v>
      </c>
      <c r="AR52" s="2">
        <f t="shared" si="20"/>
        <v>1.5278590392922535</v>
      </c>
      <c r="AS52" s="2">
        <f t="shared" si="20"/>
        <v>1.6915360324912201</v>
      </c>
      <c r="AT52" s="2">
        <f t="shared" si="20"/>
        <v>1.1251521693634232</v>
      </c>
      <c r="AU52" s="2">
        <f t="shared" si="20"/>
        <v>1.6809062273597997</v>
      </c>
      <c r="AV52" s="2">
        <f t="shared" si="20"/>
        <v>1.2187826151413967</v>
      </c>
      <c r="AW52" s="2">
        <f t="shared" si="20"/>
        <v>1.9422045867766953</v>
      </c>
      <c r="AX52" s="2">
        <f t="shared" si="20"/>
        <v>1.3866218066581473</v>
      </c>
      <c r="AY52" s="2">
        <f t="shared" si="20"/>
        <v>1.6492885067242813</v>
      </c>
      <c r="AZ52" s="2">
        <f t="shared" si="20"/>
        <v>1.3457859157343506</v>
      </c>
      <c r="BA52" s="2">
        <f t="shared" si="20"/>
        <v>1.5782414296423679</v>
      </c>
      <c r="BB52" s="2">
        <f t="shared" si="20"/>
        <v>1.2565992244919062</v>
      </c>
      <c r="BC52" s="2">
        <f t="shared" si="20"/>
        <v>1.6084182722796168</v>
      </c>
      <c r="BD52" s="2">
        <f t="shared" si="20"/>
        <v>1.2945798130641968</v>
      </c>
      <c r="BE52" s="2">
        <f t="shared" si="20"/>
        <v>1.432200219612249</v>
      </c>
      <c r="BF52" s="2">
        <f t="shared" si="20"/>
        <v>0.9323159766727811</v>
      </c>
      <c r="BG52" s="2">
        <f t="shared" si="20"/>
        <v>1.0413773563609081</v>
      </c>
      <c r="BH52" s="2">
        <f t="shared" si="20"/>
        <v>1.1062085543986351</v>
      </c>
      <c r="BI52" s="2">
        <f t="shared" si="20"/>
        <v>0.80747325664444547</v>
      </c>
      <c r="BJ52" s="2">
        <f t="shared" si="20"/>
        <v>0.99515294028549084</v>
      </c>
      <c r="BK52" s="2">
        <f t="shared" si="20"/>
        <v>0.85643531217161506</v>
      </c>
      <c r="BL52" s="2">
        <f t="shared" si="20"/>
        <v>1.0054485286791943</v>
      </c>
      <c r="BM52" s="2">
        <f t="shared" si="20"/>
        <v>1.0098871983839648</v>
      </c>
      <c r="BN52" s="2">
        <f t="shared" si="20"/>
        <v>0.72741324057427592</v>
      </c>
      <c r="BO52" s="2">
        <f t="shared" si="20"/>
        <v>1.2703144453079291</v>
      </c>
      <c r="BP52" s="2">
        <f t="shared" si="20"/>
        <v>1.1117002163017822</v>
      </c>
      <c r="BQ52" s="2">
        <f t="shared" si="20"/>
        <v>1.3965418869972115</v>
      </c>
      <c r="BR52" s="2">
        <f t="shared" si="20"/>
        <v>1.5523019986414659</v>
      </c>
      <c r="BS52" s="2">
        <f t="shared" si="20"/>
        <v>1.5564297460769798</v>
      </c>
      <c r="BT52" s="2">
        <f t="shared" si="20"/>
        <v>0.95187785880919085</v>
      </c>
      <c r="BU52" s="2">
        <f t="shared" si="20"/>
        <v>1.7519857412454725</v>
      </c>
      <c r="BV52" s="2">
        <f t="shared" si="20"/>
        <v>1.2790601685525251</v>
      </c>
      <c r="BW52" s="2">
        <f t="shared" si="20"/>
        <v>1.3611084386616772</v>
      </c>
      <c r="BX52" s="2">
        <f t="shared" si="20"/>
        <v>1.2143166850694169</v>
      </c>
      <c r="BY52" s="2">
        <f t="shared" si="20"/>
        <v>1.0299112572648692</v>
      </c>
      <c r="BZ52" s="2">
        <f t="shared" si="20"/>
        <v>1.6022036041667997</v>
      </c>
      <c r="CE52" s="3"/>
      <c r="CF52" s="3"/>
      <c r="CG52" s="3"/>
      <c r="CH52" s="3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1"/>
    </row>
    <row r="53" spans="1:104" x14ac:dyDescent="0.2">
      <c r="A53">
        <v>7301</v>
      </c>
      <c r="B53" s="2">
        <v>121</v>
      </c>
      <c r="C53" s="2" t="s">
        <v>8</v>
      </c>
      <c r="D53" s="2" t="s">
        <v>227</v>
      </c>
      <c r="E53" s="2" t="s">
        <v>226</v>
      </c>
      <c r="F53" s="2" t="s">
        <v>225</v>
      </c>
      <c r="G53" s="2" t="s">
        <v>224</v>
      </c>
      <c r="H53" s="2">
        <v>2</v>
      </c>
      <c r="I53" s="2" t="s">
        <v>219</v>
      </c>
      <c r="J53" s="2">
        <v>825.55282999999997</v>
      </c>
      <c r="K53" s="2">
        <v>825.55280000000005</v>
      </c>
      <c r="L53" s="2">
        <v>824.54445659999999</v>
      </c>
      <c r="M53" s="2">
        <v>4.0209999999999999</v>
      </c>
      <c r="N53" s="2">
        <v>4.0199999999999996</v>
      </c>
      <c r="O53" s="2">
        <v>0.83977438897012735</v>
      </c>
      <c r="P53" s="5" t="s">
        <v>157</v>
      </c>
      <c r="Q53" s="2">
        <v>4.7869999999999999</v>
      </c>
      <c r="R53" s="2">
        <v>1</v>
      </c>
      <c r="S53" s="2" t="s">
        <v>2</v>
      </c>
      <c r="T53" s="2" t="s">
        <v>1</v>
      </c>
      <c r="AC53" s="2">
        <f t="shared" si="17"/>
        <v>0.53463488735064713</v>
      </c>
      <c r="AD53" s="2">
        <f t="shared" si="20"/>
        <v>0.74762942635077079</v>
      </c>
      <c r="AE53" s="2">
        <f t="shared" si="20"/>
        <v>0.71999821695053534</v>
      </c>
      <c r="AF53" s="2">
        <f t="shared" si="20"/>
        <v>0.64850505876309916</v>
      </c>
      <c r="AG53" s="2">
        <f t="shared" si="20"/>
        <v>0.58036942960595139</v>
      </c>
      <c r="AH53" s="2">
        <f t="shared" si="20"/>
        <v>0.61546284730808876</v>
      </c>
      <c r="AI53" s="2">
        <f t="shared" si="20"/>
        <v>0.59359121623587463</v>
      </c>
      <c r="AJ53" s="2">
        <f t="shared" si="20"/>
        <v>0.69243293674648865</v>
      </c>
      <c r="AK53" s="2">
        <f t="shared" si="20"/>
        <v>0.64809290667428188</v>
      </c>
      <c r="AL53" s="2">
        <f t="shared" si="20"/>
        <v>0.52555190811366781</v>
      </c>
      <c r="AM53" s="2">
        <f t="shared" si="20"/>
        <v>0.72284055966338867</v>
      </c>
      <c r="AN53" s="2">
        <f t="shared" si="20"/>
        <v>0.3613405130833981</v>
      </c>
      <c r="AO53" s="2">
        <f t="shared" si="20"/>
        <v>0.41170204391467441</v>
      </c>
      <c r="AP53" s="2">
        <f t="shared" si="20"/>
        <v>0.52855652325688263</v>
      </c>
      <c r="AQ53" s="2">
        <f t="shared" si="20"/>
        <v>0.52586067997538721</v>
      </c>
      <c r="AR53" s="2">
        <f t="shared" si="20"/>
        <v>0.78795914645702481</v>
      </c>
      <c r="AS53" s="2">
        <f t="shared" si="20"/>
        <v>0.9656648523326723</v>
      </c>
      <c r="AT53" s="2">
        <f t="shared" si="20"/>
        <v>0.36976713172660369</v>
      </c>
      <c r="AU53" s="2">
        <f t="shared" si="20"/>
        <v>0.85912612497392327</v>
      </c>
      <c r="AV53" s="2">
        <f t="shared" si="20"/>
        <v>0.61267004364315802</v>
      </c>
      <c r="AW53" s="2">
        <f t="shared" si="20"/>
        <v>0.84157174836375204</v>
      </c>
      <c r="AX53" s="2">
        <f t="shared" si="20"/>
        <v>0.71530732972983968</v>
      </c>
      <c r="AY53" s="2">
        <f t="shared" si="20"/>
        <v>0.79875185023062301</v>
      </c>
      <c r="AZ53" s="2">
        <f t="shared" si="20"/>
        <v>0.60550522261864159</v>
      </c>
      <c r="BA53" s="2">
        <f t="shared" si="20"/>
        <v>0.72125921792028502</v>
      </c>
      <c r="BB53" s="2">
        <f t="shared" si="20"/>
        <v>0.64885561023722527</v>
      </c>
      <c r="BC53" s="2">
        <f t="shared" si="20"/>
        <v>0.54051808346052466</v>
      </c>
      <c r="BD53" s="2">
        <f t="shared" si="20"/>
        <v>0.81892361013861159</v>
      </c>
      <c r="BE53" s="2">
        <f t="shared" si="20"/>
        <v>0.83087248319590201</v>
      </c>
      <c r="BF53" s="2">
        <f t="shared" si="20"/>
        <v>0.53571462752532928</v>
      </c>
      <c r="BG53" s="2">
        <f t="shared" si="20"/>
        <v>0.48233142662925932</v>
      </c>
      <c r="BH53" s="2">
        <f t="shared" si="20"/>
        <v>0.45729105195652986</v>
      </c>
      <c r="BI53" s="2">
        <f t="shared" si="20"/>
        <v>0.41934776095616372</v>
      </c>
      <c r="BJ53" s="2">
        <f t="shared" si="20"/>
        <v>0.51947782799201225</v>
      </c>
      <c r="BK53" s="2">
        <f t="shared" si="20"/>
        <v>0.38980834646286971</v>
      </c>
      <c r="BL53" s="2">
        <f t="shared" si="20"/>
        <v>0.48699795369440413</v>
      </c>
      <c r="BM53" s="2">
        <f t="shared" si="20"/>
        <v>0.46395551244107391</v>
      </c>
      <c r="BN53" s="2">
        <f t="shared" si="20"/>
        <v>0.38100915013306502</v>
      </c>
      <c r="BO53" s="2">
        <f t="shared" si="20"/>
        <v>0.39674039177367892</v>
      </c>
      <c r="BP53" s="2">
        <f t="shared" si="20"/>
        <v>0.64060883909071287</v>
      </c>
      <c r="BQ53" s="2">
        <f t="shared" si="20"/>
        <v>1.0583298377693184</v>
      </c>
      <c r="BR53" s="2">
        <f t="shared" si="20"/>
        <v>0.97263803121020753</v>
      </c>
      <c r="BS53" s="2">
        <f t="shared" si="20"/>
        <v>0.65745354150952007</v>
      </c>
      <c r="BT53" s="2">
        <f t="shared" si="20"/>
        <v>0.65646985400401359</v>
      </c>
      <c r="BU53" s="2">
        <f t="shared" si="20"/>
        <v>0.97940402985783115</v>
      </c>
      <c r="BV53" s="2">
        <f t="shared" si="20"/>
        <v>0.59101920107319861</v>
      </c>
      <c r="BW53" s="2">
        <f t="shared" si="20"/>
        <v>0.52556117266447822</v>
      </c>
      <c r="BX53" s="2">
        <f t="shared" si="20"/>
        <v>0.44383025748458477</v>
      </c>
      <c r="BY53" s="2">
        <f t="shared" si="20"/>
        <v>0.36995971283918944</v>
      </c>
      <c r="BZ53" s="2">
        <f t="shared" si="20"/>
        <v>0.72980351728235948</v>
      </c>
      <c r="CE53" s="3"/>
      <c r="CF53" s="3"/>
      <c r="CG53" s="3"/>
      <c r="CH53" s="3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1"/>
    </row>
    <row r="54" spans="1:104" x14ac:dyDescent="0.2">
      <c r="A54">
        <v>7300</v>
      </c>
      <c r="B54" s="2">
        <v>120</v>
      </c>
      <c r="C54" s="2" t="s">
        <v>8</v>
      </c>
      <c r="D54" s="2" t="s">
        <v>223</v>
      </c>
      <c r="E54" s="2" t="s">
        <v>222</v>
      </c>
      <c r="F54" s="2" t="s">
        <v>221</v>
      </c>
      <c r="G54" s="2" t="s">
        <v>220</v>
      </c>
      <c r="H54" s="2">
        <v>2</v>
      </c>
      <c r="I54" s="2" t="s">
        <v>219</v>
      </c>
      <c r="J54" s="2">
        <v>825.55282999999997</v>
      </c>
      <c r="K54" s="2">
        <v>825.55280000000005</v>
      </c>
      <c r="L54" s="2">
        <v>824.54445659999999</v>
      </c>
      <c r="M54" s="2">
        <v>3.8479999999999999</v>
      </c>
      <c r="N54" s="2">
        <v>3.85</v>
      </c>
      <c r="O54" s="2">
        <v>0.80426154167537078</v>
      </c>
      <c r="P54" s="5" t="s">
        <v>157</v>
      </c>
      <c r="Q54" s="2">
        <v>4.7869999999999999</v>
      </c>
      <c r="R54" s="2">
        <v>1</v>
      </c>
      <c r="S54" s="2" t="s">
        <v>2</v>
      </c>
      <c r="T54" s="2" t="s">
        <v>1</v>
      </c>
      <c r="AC54" s="2">
        <f t="shared" si="17"/>
        <v>0.14395102142368199</v>
      </c>
      <c r="AD54" s="2">
        <f t="shared" si="20"/>
        <v>0.15437144357198182</v>
      </c>
      <c r="AE54" s="2">
        <f t="shared" si="20"/>
        <v>0.20580335843508205</v>
      </c>
      <c r="AF54" s="2">
        <f t="shared" si="20"/>
        <v>0.14605071287451823</v>
      </c>
      <c r="AG54" s="2">
        <f t="shared" si="20"/>
        <v>0.14188113945628184</v>
      </c>
      <c r="AH54" s="2">
        <f t="shared" si="20"/>
        <v>0.18597441351964597</v>
      </c>
      <c r="AI54" s="2">
        <f t="shared" si="20"/>
        <v>0.17615372386261888</v>
      </c>
      <c r="AJ54" s="2">
        <f t="shared" si="20"/>
        <v>0.19454326636898739</v>
      </c>
      <c r="AK54" s="2">
        <f t="shared" si="20"/>
        <v>0.1755866173488965</v>
      </c>
      <c r="AL54" s="2">
        <f t="shared" si="20"/>
        <v>0.18663033340391552</v>
      </c>
      <c r="AM54" s="2">
        <f t="shared" si="20"/>
        <v>0.22103882664908878</v>
      </c>
      <c r="AN54" s="2">
        <f t="shared" si="20"/>
        <v>0.11832056091872761</v>
      </c>
      <c r="AO54" s="2">
        <f t="shared" si="20"/>
        <v>0.17405635555662841</v>
      </c>
      <c r="AP54" s="2">
        <f t="shared" si="20"/>
        <v>0.17200019650856962</v>
      </c>
      <c r="AQ54" s="2">
        <f t="shared" si="20"/>
        <v>0.15528203962478257</v>
      </c>
      <c r="AR54" s="2">
        <f t="shared" si="20"/>
        <v>0.27143516025896153</v>
      </c>
      <c r="AS54" s="2">
        <f t="shared" si="20"/>
        <v>0.22093447814474601</v>
      </c>
      <c r="AT54" s="2">
        <f t="shared" si="20"/>
        <v>7.4036028523518788E-2</v>
      </c>
      <c r="AU54" s="2">
        <f t="shared" si="20"/>
        <v>0.17235491382527843</v>
      </c>
      <c r="AV54" s="2">
        <f t="shared" si="20"/>
        <v>0.1257712500134282</v>
      </c>
      <c r="AW54" s="2">
        <f t="shared" si="20"/>
        <v>0.21038597023617514</v>
      </c>
      <c r="AX54" s="2">
        <f t="shared" si="20"/>
        <v>0.26329865967124555</v>
      </c>
      <c r="AY54" s="2">
        <f t="shared" si="20"/>
        <v>0.17365261731589809</v>
      </c>
      <c r="AZ54" s="2">
        <f t="shared" si="20"/>
        <v>0.13306441878534261</v>
      </c>
      <c r="BA54" s="2">
        <f t="shared" si="20"/>
        <v>0.14718663888137937</v>
      </c>
      <c r="BB54" s="2">
        <f t="shared" si="20"/>
        <v>0.22006411944114587</v>
      </c>
      <c r="BC54" s="2">
        <f t="shared" si="20"/>
        <v>0.21824637789747917</v>
      </c>
      <c r="BD54" s="2">
        <f t="shared" si="20"/>
        <v>0.28136699450893327</v>
      </c>
      <c r="BE54" s="2">
        <f t="shared" si="20"/>
        <v>0.24817878615273331</v>
      </c>
      <c r="BF54" s="2">
        <f t="shared" si="20"/>
        <v>0.1343438488178384</v>
      </c>
      <c r="BG54" s="2">
        <f t="shared" si="20"/>
        <v>0.17135642285005609</v>
      </c>
      <c r="BH54" s="2">
        <f t="shared" si="20"/>
        <v>0.16279042280030703</v>
      </c>
      <c r="BI54" s="2">
        <f t="shared" si="20"/>
        <v>0.16359347623414475</v>
      </c>
      <c r="BJ54" s="2">
        <f t="shared" si="20"/>
        <v>0.22412149258324029</v>
      </c>
      <c r="BK54" s="2">
        <f t="shared" si="20"/>
        <v>0.15240670084159993</v>
      </c>
      <c r="BL54" s="2">
        <f t="shared" si="20"/>
        <v>0.18256943588241162</v>
      </c>
      <c r="BM54" s="2">
        <f t="shared" si="20"/>
        <v>0.15002146162251295</v>
      </c>
      <c r="BN54" s="2">
        <f t="shared" si="20"/>
        <v>0.13837434166887808</v>
      </c>
      <c r="BO54" s="2">
        <f t="shared" si="20"/>
        <v>0.12889642321144085</v>
      </c>
      <c r="BP54" s="2">
        <f t="shared" si="20"/>
        <v>0.25993335919932342</v>
      </c>
      <c r="BQ54" s="2">
        <f t="shared" si="20"/>
        <v>0.30212254839036051</v>
      </c>
      <c r="BR54" s="2">
        <f t="shared" si="20"/>
        <v>0.1611622454085849</v>
      </c>
      <c r="BS54" s="2">
        <f t="shared" si="20"/>
        <v>0.14676066282604933</v>
      </c>
      <c r="BT54" s="2">
        <f t="shared" si="20"/>
        <v>0.13953796947770328</v>
      </c>
      <c r="BU54" s="2">
        <f t="shared" si="20"/>
        <v>0.24527237783054512</v>
      </c>
      <c r="BV54" s="2">
        <f t="shared" si="20"/>
        <v>0.15222222124739501</v>
      </c>
      <c r="BW54" s="2">
        <f t="shared" si="20"/>
        <v>0.17318320804757575</v>
      </c>
      <c r="BX54" s="2">
        <f t="shared" si="20"/>
        <v>0.16864641227421709</v>
      </c>
      <c r="BY54" s="2">
        <f t="shared" si="20"/>
        <v>0.11116293481510371</v>
      </c>
      <c r="BZ54" s="2">
        <f t="shared" si="20"/>
        <v>0.2379504670794699</v>
      </c>
      <c r="CE54" s="3"/>
      <c r="CF54" s="3"/>
      <c r="CG54" s="3"/>
      <c r="CH54" s="3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1"/>
    </row>
    <row r="55" spans="1:104" x14ac:dyDescent="0.2">
      <c r="A55">
        <v>7299</v>
      </c>
      <c r="B55" s="2">
        <v>119</v>
      </c>
      <c r="C55" s="2" t="s">
        <v>8</v>
      </c>
      <c r="D55" s="2" t="s">
        <v>218</v>
      </c>
      <c r="E55" s="2" t="s">
        <v>217</v>
      </c>
      <c r="F55" s="2" t="s">
        <v>216</v>
      </c>
      <c r="G55" s="2" t="s">
        <v>215</v>
      </c>
      <c r="H55" s="2">
        <v>2</v>
      </c>
      <c r="I55" s="2" t="s">
        <v>214</v>
      </c>
      <c r="J55" s="2">
        <v>841.58318999999995</v>
      </c>
      <c r="K55" s="2">
        <v>841.58320000000003</v>
      </c>
      <c r="L55" s="2">
        <v>840.57481659999996</v>
      </c>
      <c r="M55" s="2">
        <v>4.8929999999999998</v>
      </c>
      <c r="N55" s="2">
        <v>4.8899999999999997</v>
      </c>
      <c r="O55" s="2">
        <v>1.0215166074785877</v>
      </c>
      <c r="P55" s="5" t="s">
        <v>157</v>
      </c>
      <c r="Q55" s="2">
        <v>4.7869999999999999</v>
      </c>
      <c r="R55" s="2">
        <v>1</v>
      </c>
      <c r="S55" s="2" t="s">
        <v>2</v>
      </c>
      <c r="T55" s="2" t="s">
        <v>1</v>
      </c>
      <c r="AC55" s="2">
        <f t="shared" si="17"/>
        <v>0.29805820316781018</v>
      </c>
      <c r="AD55" s="2">
        <f t="shared" si="20"/>
        <v>0.28549821553605498</v>
      </c>
      <c r="AE55" s="2">
        <f t="shared" si="20"/>
        <v>0.26319245827706939</v>
      </c>
      <c r="AF55" s="2">
        <f t="shared" si="20"/>
        <v>0.28513218285767383</v>
      </c>
      <c r="AG55" s="2">
        <f t="shared" si="20"/>
        <v>0.27014055119520963</v>
      </c>
      <c r="AH55" s="2">
        <f t="shared" si="20"/>
        <v>0.34798720679443229</v>
      </c>
      <c r="AI55" s="2">
        <f t="shared" si="20"/>
        <v>0.31338758907190351</v>
      </c>
      <c r="AJ55" s="2">
        <f t="shared" si="20"/>
        <v>0.41929309429122302</v>
      </c>
      <c r="AK55" s="2">
        <f t="shared" si="20"/>
        <v>0.4880391695224624</v>
      </c>
      <c r="AL55" s="2">
        <f t="shared" si="20"/>
        <v>0.34048838479008553</v>
      </c>
      <c r="AM55" s="2">
        <f t="shared" si="20"/>
        <v>0.427337114177055</v>
      </c>
      <c r="AN55" s="2">
        <f t="shared" si="20"/>
        <v>0.25009309108175093</v>
      </c>
      <c r="AO55" s="2">
        <f t="shared" si="20"/>
        <v>0.35463876222446761</v>
      </c>
      <c r="AP55" s="2">
        <f t="shared" si="20"/>
        <v>0.40576911989630904</v>
      </c>
      <c r="AQ55" s="2">
        <f t="shared" si="20"/>
        <v>0.35481516698038512</v>
      </c>
      <c r="AR55" s="2">
        <f t="shared" si="20"/>
        <v>0.38987611525813898</v>
      </c>
      <c r="AS55" s="2">
        <f t="shared" si="20"/>
        <v>0.44834956404404303</v>
      </c>
      <c r="AT55" s="2">
        <f t="shared" si="20"/>
        <v>0.22707448395925425</v>
      </c>
      <c r="AU55" s="2">
        <f t="shared" si="20"/>
        <v>0.36714484758156252</v>
      </c>
      <c r="AV55" s="2">
        <f t="shared" si="20"/>
        <v>0.27806084258836566</v>
      </c>
      <c r="AW55" s="2">
        <f t="shared" si="20"/>
        <v>0.32727685493958497</v>
      </c>
      <c r="AX55" s="2">
        <f t="shared" si="20"/>
        <v>0.38619559943576709</v>
      </c>
      <c r="AY55" s="2">
        <f t="shared" si="20"/>
        <v>0.34567673394283366</v>
      </c>
      <c r="AZ55" s="2">
        <f t="shared" si="20"/>
        <v>0.32837242384134174</v>
      </c>
      <c r="BA55" s="2">
        <f t="shared" si="20"/>
        <v>0.40249843329362206</v>
      </c>
      <c r="BB55" s="2">
        <f t="shared" si="20"/>
        <v>0.44769283158453216</v>
      </c>
      <c r="BC55" s="2">
        <f t="shared" si="20"/>
        <v>0.41488598260307946</v>
      </c>
      <c r="BD55" s="2">
        <f t="shared" si="20"/>
        <v>0.56958743371677689</v>
      </c>
      <c r="BE55" s="2">
        <f t="shared" si="20"/>
        <v>0.51417922672968186</v>
      </c>
      <c r="BF55" s="2">
        <f t="shared" si="20"/>
        <v>0.3383712599138588</v>
      </c>
      <c r="BG55" s="2">
        <f t="shared" si="20"/>
        <v>0.31306350147561146</v>
      </c>
      <c r="BH55" s="2">
        <f t="shared" si="20"/>
        <v>0.3992111407126151</v>
      </c>
      <c r="BI55" s="2">
        <f t="shared" si="20"/>
        <v>0.30530291997428388</v>
      </c>
      <c r="BJ55" s="2">
        <f t="shared" si="20"/>
        <v>0.36041405160247719</v>
      </c>
      <c r="BK55" s="2">
        <f t="shared" si="20"/>
        <v>0.27884754208778378</v>
      </c>
      <c r="BL55" s="2">
        <f t="shared" si="20"/>
        <v>0.40160273981230049</v>
      </c>
      <c r="BM55" s="2">
        <f t="shared" si="20"/>
        <v>0.39121486939310596</v>
      </c>
      <c r="BN55" s="2">
        <f t="shared" si="20"/>
        <v>0.26021514982794169</v>
      </c>
      <c r="BO55" s="2">
        <f t="shared" si="20"/>
        <v>0.32999032783368193</v>
      </c>
      <c r="BP55" s="2">
        <f t="shared" si="20"/>
        <v>0.47593488405115092</v>
      </c>
      <c r="BQ55" s="2">
        <f t="shared" si="20"/>
        <v>0.51591277800291835</v>
      </c>
      <c r="BR55" s="2">
        <f t="shared" si="20"/>
        <v>0.42903915142798438</v>
      </c>
      <c r="BS55" s="2">
        <f t="shared" si="20"/>
        <v>0.36225640720363322</v>
      </c>
      <c r="BT55" s="2">
        <f t="shared" si="20"/>
        <v>0.29327118753706954</v>
      </c>
      <c r="BU55" s="2">
        <f t="shared" si="20"/>
        <v>0.4895865911248633</v>
      </c>
      <c r="BV55" s="2">
        <f t="shared" si="20"/>
        <v>0.45095655281896607</v>
      </c>
      <c r="BW55" s="2">
        <f t="shared" si="20"/>
        <v>0.45269880273288637</v>
      </c>
      <c r="BX55" s="2">
        <f t="shared" si="20"/>
        <v>0.3780889960160469</v>
      </c>
      <c r="BY55" s="2">
        <f t="shared" si="20"/>
        <v>0.30981115316239471</v>
      </c>
      <c r="BZ55" s="2">
        <f t="shared" si="20"/>
        <v>0.66393195469172128</v>
      </c>
      <c r="CE55" s="3"/>
      <c r="CF55" s="3"/>
      <c r="CG55" s="3"/>
      <c r="CH55" s="3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1"/>
    </row>
    <row r="56" spans="1:104" x14ac:dyDescent="0.2">
      <c r="A56">
        <v>7298</v>
      </c>
      <c r="B56" s="2">
        <v>118</v>
      </c>
      <c r="C56" s="2" t="s">
        <v>8</v>
      </c>
      <c r="D56" s="2" t="s">
        <v>213</v>
      </c>
      <c r="E56" s="2" t="s">
        <v>212</v>
      </c>
      <c r="F56" s="2" t="s">
        <v>211</v>
      </c>
      <c r="G56" s="2" t="s">
        <v>210</v>
      </c>
      <c r="H56" s="2">
        <v>2</v>
      </c>
      <c r="I56" s="2" t="s">
        <v>209</v>
      </c>
      <c r="J56" s="2">
        <v>857.61501999999996</v>
      </c>
      <c r="K56" s="2">
        <v>857.61500000000001</v>
      </c>
      <c r="L56" s="2">
        <v>856.60664659999998</v>
      </c>
      <c r="M56" s="2">
        <v>5.7190000000000003</v>
      </c>
      <c r="N56" s="2">
        <v>5.72</v>
      </c>
      <c r="O56" s="2">
        <v>1.1949028619176938</v>
      </c>
      <c r="P56" s="5" t="s">
        <v>157</v>
      </c>
      <c r="Q56" s="2">
        <v>4.7869999999999999</v>
      </c>
      <c r="R56" s="2">
        <v>1</v>
      </c>
      <c r="S56" s="2" t="s">
        <v>2</v>
      </c>
      <c r="T56" s="2" t="s">
        <v>1</v>
      </c>
      <c r="AC56" s="2">
        <f t="shared" si="17"/>
        <v>0.23597719610843695</v>
      </c>
      <c r="AD56" s="2">
        <f t="shared" si="20"/>
        <v>0.33079790930425595</v>
      </c>
      <c r="AE56" s="2">
        <f t="shared" si="20"/>
        <v>0.25586153766003006</v>
      </c>
      <c r="AF56" s="2">
        <f t="shared" si="20"/>
        <v>0.28722172275726859</v>
      </c>
      <c r="AG56" s="2">
        <f t="shared" si="20"/>
        <v>0.25051477618383766</v>
      </c>
      <c r="AH56" s="2">
        <f t="shared" si="20"/>
        <v>0.30560197991256433</v>
      </c>
      <c r="AI56" s="2">
        <f t="shared" si="20"/>
        <v>0.25513487427849796</v>
      </c>
      <c r="AJ56" s="2">
        <f t="shared" si="20"/>
        <v>0.29594754691566644</v>
      </c>
      <c r="AK56" s="2">
        <f t="shared" si="20"/>
        <v>0.32916544875012721</v>
      </c>
      <c r="AL56" s="2">
        <f t="shared" si="20"/>
        <v>0.20293435697612333</v>
      </c>
      <c r="AM56" s="2">
        <f t="shared" si="20"/>
        <v>0.43353302839708224</v>
      </c>
      <c r="AN56" s="2">
        <f t="shared" si="20"/>
        <v>0.19362153609861266</v>
      </c>
      <c r="AO56" s="2">
        <f t="shared" si="20"/>
        <v>0.25037866769597361</v>
      </c>
      <c r="AP56" s="2">
        <f t="shared" si="20"/>
        <v>0.30325863805080949</v>
      </c>
      <c r="AQ56" s="2">
        <f t="shared" si="20"/>
        <v>0.29509611649272777</v>
      </c>
      <c r="AR56" s="2">
        <f t="shared" si="20"/>
        <v>0.35322875898853295</v>
      </c>
      <c r="AS56" s="2">
        <f t="shared" si="20"/>
        <v>0.43866784367482481</v>
      </c>
      <c r="AT56" s="2">
        <f t="shared" si="20"/>
        <v>0.2589795268510916</v>
      </c>
      <c r="AU56" s="2">
        <f t="shared" si="20"/>
        <v>0.3940550432610081</v>
      </c>
      <c r="AV56" s="2">
        <f t="shared" si="20"/>
        <v>0.31071773531178987</v>
      </c>
      <c r="AW56" s="2">
        <f t="shared" si="20"/>
        <v>0.44057245280058421</v>
      </c>
      <c r="AX56" s="2">
        <f t="shared" si="20"/>
        <v>0.3327890802194689</v>
      </c>
      <c r="AY56" s="2">
        <f t="shared" si="20"/>
        <v>0.39128031805648245</v>
      </c>
      <c r="AZ56" s="2">
        <f t="shared" si="20"/>
        <v>0.3343732459815883</v>
      </c>
      <c r="BA56" s="2">
        <f t="shared" si="20"/>
        <v>0.41792112827767802</v>
      </c>
      <c r="BB56" s="2">
        <f t="shared" si="20"/>
        <v>0.29846481922473306</v>
      </c>
      <c r="BC56" s="2">
        <f t="shared" si="20"/>
        <v>0.32895616885856777</v>
      </c>
      <c r="BD56" s="2">
        <f t="shared" si="20"/>
        <v>0.25549702099993271</v>
      </c>
      <c r="BE56" s="2">
        <f t="shared" si="20"/>
        <v>0.35966702729270256</v>
      </c>
      <c r="BF56" s="2">
        <f t="shared" si="20"/>
        <v>0.26011163169596496</v>
      </c>
      <c r="BG56" s="2">
        <f t="shared" si="20"/>
        <v>0.20288576811145709</v>
      </c>
      <c r="BH56" s="2">
        <f t="shared" si="20"/>
        <v>0.23483151674963415</v>
      </c>
      <c r="BI56" s="2">
        <f t="shared" si="20"/>
        <v>0.18922490527651892</v>
      </c>
      <c r="BJ56" s="2">
        <f t="shared" si="20"/>
        <v>0.21496179438873678</v>
      </c>
      <c r="BK56" s="2">
        <f t="shared" si="20"/>
        <v>0.23098031525535115</v>
      </c>
      <c r="BL56" s="2">
        <f t="shared" si="20"/>
        <v>0.22244733304487607</v>
      </c>
      <c r="BM56" s="2">
        <f t="shared" si="20"/>
        <v>0.21830843155482071</v>
      </c>
      <c r="BN56" s="2">
        <f t="shared" si="20"/>
        <v>0.19360202428801809</v>
      </c>
      <c r="BO56" s="2">
        <f t="shared" si="20"/>
        <v>0.22788383276628463</v>
      </c>
      <c r="BP56" s="2">
        <f t="shared" si="20"/>
        <v>0.26364302732460559</v>
      </c>
      <c r="BQ56" s="2">
        <f t="shared" si="20"/>
        <v>0.3062134743380594</v>
      </c>
      <c r="BR56" s="2">
        <f t="shared" si="20"/>
        <v>0.28703059737935943</v>
      </c>
      <c r="BS56" s="2">
        <f t="shared" si="20"/>
        <v>0.27930146969764685</v>
      </c>
      <c r="BT56" s="2">
        <f t="shared" si="20"/>
        <v>0.24694736472853213</v>
      </c>
      <c r="BU56" s="2">
        <f t="shared" si="20"/>
        <v>0.4107703825003563</v>
      </c>
      <c r="BV56" s="2">
        <f t="shared" si="20"/>
        <v>0.32934365236968699</v>
      </c>
      <c r="BW56" s="2">
        <f t="shared" si="20"/>
        <v>0.34994884131075815</v>
      </c>
      <c r="BX56" s="2">
        <f t="shared" si="20"/>
        <v>0.29961371807002418</v>
      </c>
      <c r="BY56" s="2">
        <f t="shared" si="20"/>
        <v>0.28974543024582161</v>
      </c>
      <c r="BZ56" s="2">
        <f t="shared" si="20"/>
        <v>0.46699403413283286</v>
      </c>
      <c r="CE56" s="3"/>
      <c r="CF56" s="3"/>
      <c r="CG56" s="3"/>
      <c r="CH56" s="3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1"/>
    </row>
    <row r="57" spans="1:104" x14ac:dyDescent="0.2">
      <c r="A57">
        <v>7297</v>
      </c>
      <c r="B57" s="2">
        <v>117</v>
      </c>
      <c r="C57" s="2" t="s">
        <v>8</v>
      </c>
      <c r="D57" s="2" t="s">
        <v>208</v>
      </c>
      <c r="E57" s="2" t="s">
        <v>207</v>
      </c>
      <c r="F57" s="2" t="s">
        <v>206</v>
      </c>
      <c r="G57" s="2" t="s">
        <v>205</v>
      </c>
      <c r="H57" s="2">
        <v>2</v>
      </c>
      <c r="I57" s="2" t="s">
        <v>200</v>
      </c>
      <c r="J57" s="2">
        <v>855.60014000000001</v>
      </c>
      <c r="K57" s="2">
        <v>855.6001</v>
      </c>
      <c r="L57" s="2">
        <v>854.59176660000003</v>
      </c>
      <c r="M57" s="2">
        <v>5.0410000000000004</v>
      </c>
      <c r="N57" s="2">
        <v>5.04</v>
      </c>
      <c r="O57" s="2">
        <v>1.0528514727386673</v>
      </c>
      <c r="P57" s="5" t="s">
        <v>157</v>
      </c>
      <c r="Q57" s="2">
        <v>4.7869999999999999</v>
      </c>
      <c r="R57" s="2">
        <v>1</v>
      </c>
      <c r="S57" s="2" t="s">
        <v>2</v>
      </c>
      <c r="T57" s="2" t="s">
        <v>1</v>
      </c>
      <c r="AC57" s="2">
        <f t="shared" si="17"/>
        <v>0.52381384763066385</v>
      </c>
      <c r="AD57" s="2">
        <f t="shared" si="20"/>
        <v>0.45922334885586508</v>
      </c>
      <c r="AE57" s="2">
        <f t="shared" si="20"/>
        <v>0.44371794081076388</v>
      </c>
      <c r="AF57" s="2">
        <f t="shared" si="20"/>
        <v>0.43376052288777167</v>
      </c>
      <c r="AG57" s="2">
        <f t="shared" si="20"/>
        <v>0.47526308235015391</v>
      </c>
      <c r="AH57" s="2">
        <f t="shared" si="20"/>
        <v>0.64667453783338991</v>
      </c>
      <c r="AI57" s="2">
        <f t="shared" si="20"/>
        <v>0.54340193376018719</v>
      </c>
      <c r="AJ57" s="2">
        <f t="shared" ref="AD57:BZ62" si="21">(AJ24/AJ$2)*2.00695</f>
        <v>0.6698762915224209</v>
      </c>
      <c r="AK57" s="2">
        <f t="shared" si="21"/>
        <v>0.73957291579303452</v>
      </c>
      <c r="AL57" s="2">
        <f t="shared" si="21"/>
        <v>0.58198466482639977</v>
      </c>
      <c r="AM57" s="2">
        <f t="shared" si="21"/>
        <v>0.78438316207779679</v>
      </c>
      <c r="AN57" s="2">
        <f t="shared" si="21"/>
        <v>0.43217269762902866</v>
      </c>
      <c r="AO57" s="2">
        <f t="shared" si="21"/>
        <v>0.68659281152300988</v>
      </c>
      <c r="AP57" s="2">
        <f t="shared" si="21"/>
        <v>0.69006717490181102</v>
      </c>
      <c r="AQ57" s="2">
        <f t="shared" si="21"/>
        <v>0.62496528914524252</v>
      </c>
      <c r="AR57" s="2">
        <f t="shared" si="21"/>
        <v>0.59405818021137158</v>
      </c>
      <c r="AS57" s="2">
        <f t="shared" si="21"/>
        <v>0.82792837128379904</v>
      </c>
      <c r="AT57" s="2">
        <f t="shared" si="21"/>
        <v>0.31477884830339509</v>
      </c>
      <c r="AU57" s="2">
        <f t="shared" si="21"/>
        <v>0.60243658750046236</v>
      </c>
      <c r="AV57" s="2">
        <f t="shared" si="21"/>
        <v>0.43848251349256018</v>
      </c>
      <c r="AW57" s="2">
        <f t="shared" si="21"/>
        <v>0.58293778940548457</v>
      </c>
      <c r="AX57" s="2">
        <f t="shared" si="21"/>
        <v>0.644269621401244</v>
      </c>
      <c r="AY57" s="2">
        <f t="shared" si="21"/>
        <v>0.61432088924920203</v>
      </c>
      <c r="AZ57" s="2">
        <f t="shared" si="21"/>
        <v>0.5321439655329071</v>
      </c>
      <c r="BA57" s="2">
        <f t="shared" si="21"/>
        <v>0.60159833811509655</v>
      </c>
      <c r="BB57" s="2">
        <f t="shared" si="21"/>
        <v>0.66215126643478583</v>
      </c>
      <c r="BC57" s="2">
        <f t="shared" si="21"/>
        <v>0.62044988608363438</v>
      </c>
      <c r="BD57" s="2">
        <f t="shared" si="21"/>
        <v>0.82162767267502934</v>
      </c>
      <c r="BE57" s="2">
        <f t="shared" si="21"/>
        <v>0.72907470340291325</v>
      </c>
      <c r="BF57" s="2">
        <f t="shared" si="21"/>
        <v>0.54075381203702677</v>
      </c>
      <c r="BG57" s="2">
        <f t="shared" si="21"/>
        <v>0.50500956532452834</v>
      </c>
      <c r="BH57" s="2">
        <f t="shared" si="21"/>
        <v>0.60557401514807252</v>
      </c>
      <c r="BI57" s="2">
        <f t="shared" si="21"/>
        <v>0.52641215649246753</v>
      </c>
      <c r="BJ57" s="2">
        <f t="shared" si="21"/>
        <v>0.53039341799905282</v>
      </c>
      <c r="BK57" s="2">
        <f t="shared" si="21"/>
        <v>0.49409552378744825</v>
      </c>
      <c r="BL57" s="2">
        <f t="shared" si="21"/>
        <v>0.67593172550415648</v>
      </c>
      <c r="BM57" s="2">
        <f t="shared" si="21"/>
        <v>0.62880109606127477</v>
      </c>
      <c r="BN57" s="2">
        <f t="shared" si="21"/>
        <v>0.50169839877706657</v>
      </c>
      <c r="BO57" s="2">
        <f t="shared" si="21"/>
        <v>0.50410067483018017</v>
      </c>
      <c r="BP57" s="2">
        <f t="shared" si="21"/>
        <v>0.96709668963330997</v>
      </c>
      <c r="BQ57" s="2">
        <f t="shared" si="21"/>
        <v>0.80645838868531083</v>
      </c>
      <c r="BR57" s="2">
        <f t="shared" si="21"/>
        <v>0.4950706749979033</v>
      </c>
      <c r="BS57" s="2">
        <f t="shared" si="21"/>
        <v>0.36945970505344766</v>
      </c>
      <c r="BT57" s="2">
        <f t="shared" si="21"/>
        <v>0.46633787468603694</v>
      </c>
      <c r="BU57" s="2">
        <f t="shared" si="21"/>
        <v>0.79453515066634361</v>
      </c>
      <c r="BV57" s="2">
        <f t="shared" si="21"/>
        <v>0.7096704699141847</v>
      </c>
      <c r="BW57" s="2">
        <f t="shared" si="21"/>
        <v>0.57409241764857966</v>
      </c>
      <c r="BX57" s="2">
        <f t="shared" si="21"/>
        <v>0.57242922876005575</v>
      </c>
      <c r="BY57" s="2">
        <f t="shared" si="21"/>
        <v>0.45407835792265344</v>
      </c>
      <c r="BZ57" s="2">
        <f t="shared" si="21"/>
        <v>0.78130944454524209</v>
      </c>
      <c r="CE57" s="3"/>
      <c r="CF57" s="3"/>
      <c r="CG57" s="3"/>
      <c r="CH57" s="3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1"/>
    </row>
    <row r="58" spans="1:104" x14ac:dyDescent="0.2">
      <c r="A58">
        <v>7296</v>
      </c>
      <c r="B58" s="2">
        <v>115</v>
      </c>
      <c r="C58" s="2" t="s">
        <v>8</v>
      </c>
      <c r="D58" s="2" t="s">
        <v>204</v>
      </c>
      <c r="E58" s="2" t="s">
        <v>203</v>
      </c>
      <c r="F58" s="2" t="s">
        <v>202</v>
      </c>
      <c r="G58" s="2" t="s">
        <v>201</v>
      </c>
      <c r="H58" s="2">
        <v>2</v>
      </c>
      <c r="I58" s="2" t="s">
        <v>200</v>
      </c>
      <c r="J58" s="2">
        <v>855.60014000000001</v>
      </c>
      <c r="K58" s="2">
        <v>855.6001</v>
      </c>
      <c r="L58" s="2">
        <v>854.59176660000003</v>
      </c>
      <c r="M58" s="2">
        <v>5.34</v>
      </c>
      <c r="N58" s="2">
        <v>5.34</v>
      </c>
      <c r="O58" s="2">
        <v>1.115521203258826</v>
      </c>
      <c r="P58" s="5" t="s">
        <v>157</v>
      </c>
      <c r="Q58" s="2">
        <v>4.7869999999999999</v>
      </c>
      <c r="R58" s="2">
        <v>1</v>
      </c>
      <c r="S58" s="2" t="s">
        <v>2</v>
      </c>
      <c r="T58" s="2" t="s">
        <v>1</v>
      </c>
      <c r="AC58" s="2">
        <f t="shared" si="17"/>
        <v>6.0047311660975486</v>
      </c>
      <c r="AD58" s="2">
        <f t="shared" si="21"/>
        <v>6.8717180756938294</v>
      </c>
      <c r="AE58" s="2">
        <f t="shared" si="21"/>
        <v>5.8612056936804633</v>
      </c>
      <c r="AF58" s="2">
        <f t="shared" si="21"/>
        <v>7.1678022417844618</v>
      </c>
      <c r="AG58" s="2">
        <f t="shared" si="21"/>
        <v>6.9662871239231148</v>
      </c>
      <c r="AH58" s="2">
        <f t="shared" si="21"/>
        <v>8.2910045620715831</v>
      </c>
      <c r="AI58" s="2">
        <f t="shared" si="21"/>
        <v>7.1633565140471864</v>
      </c>
      <c r="AJ58" s="2">
        <f t="shared" si="21"/>
        <v>8.9950208428342844</v>
      </c>
      <c r="AK58" s="2">
        <f t="shared" si="21"/>
        <v>10.260696044253914</v>
      </c>
      <c r="AL58" s="2">
        <f t="shared" si="21"/>
        <v>7.3681742775925079</v>
      </c>
      <c r="AM58" s="2">
        <f t="shared" si="21"/>
        <v>11.354875241485578</v>
      </c>
      <c r="AN58" s="2">
        <f t="shared" si="21"/>
        <v>6.4666406450398144</v>
      </c>
      <c r="AO58" s="2">
        <f t="shared" si="21"/>
        <v>8.8514513804896975</v>
      </c>
      <c r="AP58" s="2">
        <f t="shared" si="21"/>
        <v>9.6341516637011235</v>
      </c>
      <c r="AQ58" s="2">
        <f t="shared" si="21"/>
        <v>8.3073995481297729</v>
      </c>
      <c r="AR58" s="2">
        <f t="shared" si="21"/>
        <v>10.79113966583645</v>
      </c>
      <c r="AS58" s="2">
        <f t="shared" si="21"/>
        <v>11.558921874943158</v>
      </c>
      <c r="AT58" s="2">
        <f t="shared" si="21"/>
        <v>7.1639086427164598</v>
      </c>
      <c r="AU58" s="2">
        <f t="shared" si="21"/>
        <v>8.8376925319527526</v>
      </c>
      <c r="AV58" s="2">
        <f t="shared" si="21"/>
        <v>7.1988500336024996</v>
      </c>
      <c r="AW58" s="2">
        <f t="shared" si="21"/>
        <v>7.611502067863599</v>
      </c>
      <c r="AX58" s="2">
        <f t="shared" si="21"/>
        <v>9.9322088248523794</v>
      </c>
      <c r="AY58" s="2">
        <f t="shared" si="21"/>
        <v>7.8779536979548919</v>
      </c>
      <c r="AZ58" s="2">
        <f t="shared" si="21"/>
        <v>8.1006042285826894</v>
      </c>
      <c r="BA58" s="2">
        <f t="shared" si="21"/>
        <v>10.632170536263292</v>
      </c>
      <c r="BB58" s="2">
        <f t="shared" si="21"/>
        <v>9.5621409971961455</v>
      </c>
      <c r="BC58" s="2">
        <f t="shared" si="21"/>
        <v>10.26529963694181</v>
      </c>
      <c r="BD58" s="2">
        <f t="shared" si="21"/>
        <v>10.937620773409325</v>
      </c>
      <c r="BE58" s="2">
        <f t="shared" si="21"/>
        <v>11.912740632736858</v>
      </c>
      <c r="BF58" s="2">
        <f t="shared" si="21"/>
        <v>8.2785085489508052</v>
      </c>
      <c r="BG58" s="2">
        <f t="shared" si="21"/>
        <v>7.8108284054673334</v>
      </c>
      <c r="BH58" s="2">
        <f t="shared" si="21"/>
        <v>8.5014699212312301</v>
      </c>
      <c r="BI58" s="2">
        <f t="shared" si="21"/>
        <v>7.4885961919958861</v>
      </c>
      <c r="BJ58" s="2">
        <f t="shared" si="21"/>
        <v>8.0735995490137871</v>
      </c>
      <c r="BK58" s="2">
        <f t="shared" si="21"/>
        <v>7.5955158919116386</v>
      </c>
      <c r="BL58" s="2">
        <f t="shared" si="21"/>
        <v>9.1914526780155263</v>
      </c>
      <c r="BM58" s="2">
        <f t="shared" si="21"/>
        <v>9.4391736390080148</v>
      </c>
      <c r="BN58" s="2">
        <f t="shared" si="21"/>
        <v>7.7661774006261481</v>
      </c>
      <c r="BO58" s="2">
        <f t="shared" si="21"/>
        <v>8.9133613461296921</v>
      </c>
      <c r="BP58" s="2">
        <f t="shared" si="21"/>
        <v>12.371312112378291</v>
      </c>
      <c r="BQ58" s="2">
        <f t="shared" si="21"/>
        <v>9.8318910978575431</v>
      </c>
      <c r="BR58" s="2">
        <f t="shared" si="21"/>
        <v>9.8962115484633753</v>
      </c>
      <c r="BS58" s="2">
        <f t="shared" si="21"/>
        <v>9.4111555290471713</v>
      </c>
      <c r="BT58" s="2">
        <f t="shared" si="21"/>
        <v>7.4074000490171423</v>
      </c>
      <c r="BU58" s="2">
        <f t="shared" si="21"/>
        <v>11.607859730736386</v>
      </c>
      <c r="BV58" s="2">
        <f t="shared" si="21"/>
        <v>10.950679327809441</v>
      </c>
      <c r="BW58" s="2">
        <f t="shared" si="21"/>
        <v>11.547266545836473</v>
      </c>
      <c r="BX58" s="2">
        <f t="shared" si="21"/>
        <v>10.416445179483807</v>
      </c>
      <c r="BY58" s="2">
        <f t="shared" si="21"/>
        <v>9.5210035360688767</v>
      </c>
      <c r="BZ58" s="2">
        <f t="shared" si="21"/>
        <v>13.941020483528167</v>
      </c>
      <c r="CE58" s="3"/>
      <c r="CF58" s="3"/>
      <c r="CG58" s="3"/>
      <c r="CH58" s="3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1"/>
    </row>
    <row r="59" spans="1:104" x14ac:dyDescent="0.2">
      <c r="A59">
        <v>7294</v>
      </c>
      <c r="B59" s="2">
        <v>113</v>
      </c>
      <c r="C59" s="2" t="s">
        <v>8</v>
      </c>
      <c r="D59" s="2" t="s">
        <v>199</v>
      </c>
      <c r="E59" s="2" t="s">
        <v>198</v>
      </c>
      <c r="F59" s="2" t="s">
        <v>197</v>
      </c>
      <c r="G59" s="2" t="s">
        <v>196</v>
      </c>
      <c r="H59" s="2">
        <v>2</v>
      </c>
      <c r="I59" s="2" t="s">
        <v>191</v>
      </c>
      <c r="J59" s="2">
        <v>853.58371</v>
      </c>
      <c r="K59" s="2">
        <v>853.58370000000002</v>
      </c>
      <c r="L59" s="2">
        <v>852.57533660000001</v>
      </c>
      <c r="M59" s="2">
        <v>4.5190000000000001</v>
      </c>
      <c r="N59" s="2">
        <v>4.5199999999999996</v>
      </c>
      <c r="O59" s="2">
        <v>0.94422393983705866</v>
      </c>
      <c r="P59" s="5" t="s">
        <v>157</v>
      </c>
      <c r="Q59" s="2">
        <v>4.7869999999999999</v>
      </c>
      <c r="R59" s="2">
        <v>1</v>
      </c>
      <c r="S59" s="2" t="s">
        <v>2</v>
      </c>
      <c r="T59" s="2" t="s">
        <v>1</v>
      </c>
      <c r="AC59" s="2">
        <f t="shared" si="17"/>
        <v>4.0178829838548502</v>
      </c>
      <c r="AD59" s="2">
        <f t="shared" si="21"/>
        <v>4.2660211167355238</v>
      </c>
      <c r="AE59" s="2">
        <f t="shared" si="21"/>
        <v>3.904856224379559</v>
      </c>
      <c r="AF59" s="2">
        <f t="shared" si="21"/>
        <v>4.2065355797437292</v>
      </c>
      <c r="AG59" s="2">
        <f t="shared" si="21"/>
        <v>4.0409258023462691</v>
      </c>
      <c r="AH59" s="2">
        <f t="shared" si="21"/>
        <v>4.792209187799001</v>
      </c>
      <c r="AI59" s="2">
        <f t="shared" si="21"/>
        <v>4.5043942623490141</v>
      </c>
      <c r="AJ59" s="2">
        <f t="shared" si="21"/>
        <v>4.5058641985986281</v>
      </c>
      <c r="AK59" s="2">
        <f t="shared" si="21"/>
        <v>5.0363840786596157</v>
      </c>
      <c r="AL59" s="2">
        <f t="shared" si="21"/>
        <v>4.1253204482475319</v>
      </c>
      <c r="AM59" s="2">
        <f t="shared" si="21"/>
        <v>5.3186691123492027</v>
      </c>
      <c r="AN59" s="2">
        <f t="shared" si="21"/>
        <v>3.248140814782388</v>
      </c>
      <c r="AO59" s="2">
        <f t="shared" si="21"/>
        <v>4.5849337016262481</v>
      </c>
      <c r="AP59" s="2">
        <f t="shared" si="21"/>
        <v>4.6095611572149773</v>
      </c>
      <c r="AQ59" s="2">
        <f t="shared" si="21"/>
        <v>4.0743157253695417</v>
      </c>
      <c r="AR59" s="2">
        <f t="shared" si="21"/>
        <v>4.902861563167134</v>
      </c>
      <c r="AS59" s="2">
        <f t="shared" si="21"/>
        <v>5.9502403821048917</v>
      </c>
      <c r="AT59" s="2">
        <f t="shared" si="21"/>
        <v>2.8685008237881187</v>
      </c>
      <c r="AU59" s="2">
        <f t="shared" si="21"/>
        <v>5.0134113216070268</v>
      </c>
      <c r="AV59" s="2">
        <f t="shared" si="21"/>
        <v>4.2793729430916194</v>
      </c>
      <c r="AW59" s="2">
        <f t="shared" si="21"/>
        <v>4.4912279333973908</v>
      </c>
      <c r="AX59" s="2">
        <f t="shared" si="21"/>
        <v>5.107379183766608</v>
      </c>
      <c r="AY59" s="2">
        <f t="shared" si="21"/>
        <v>4.6561661360324917</v>
      </c>
      <c r="AZ59" s="2">
        <f t="shared" si="21"/>
        <v>4.5287258807668449</v>
      </c>
      <c r="BA59" s="2">
        <f t="shared" si="21"/>
        <v>5.1160586894239977</v>
      </c>
      <c r="BB59" s="2">
        <f t="shared" si="21"/>
        <v>5.7312879759316884</v>
      </c>
      <c r="BC59" s="2">
        <f t="shared" si="21"/>
        <v>5.4424947497879259</v>
      </c>
      <c r="BD59" s="2">
        <f t="shared" si="21"/>
        <v>7.3667597269058502</v>
      </c>
      <c r="BE59" s="2">
        <f t="shared" si="21"/>
        <v>6.4230856214048409</v>
      </c>
      <c r="BF59" s="2">
        <f t="shared" si="21"/>
        <v>5.4000538948966614</v>
      </c>
      <c r="BG59" s="2">
        <f t="shared" si="21"/>
        <v>4.6142631340273619</v>
      </c>
      <c r="BH59" s="2">
        <f t="shared" si="21"/>
        <v>5.0513174514139392</v>
      </c>
      <c r="BI59" s="2">
        <f t="shared" si="21"/>
        <v>4.6828517374912781</v>
      </c>
      <c r="BJ59" s="2">
        <f t="shared" si="21"/>
        <v>5.1363544992592818</v>
      </c>
      <c r="BK59" s="2">
        <f t="shared" si="21"/>
        <v>4.5382906599408086</v>
      </c>
      <c r="BL59" s="2">
        <f t="shared" si="21"/>
        <v>5.3047714847906899</v>
      </c>
      <c r="BM59" s="2">
        <f t="shared" si="21"/>
        <v>5.3581175377175008</v>
      </c>
      <c r="BN59" s="2">
        <f t="shared" si="21"/>
        <v>4.243978179522168</v>
      </c>
      <c r="BO59" s="2">
        <f t="shared" si="21"/>
        <v>4.3019882277562491</v>
      </c>
      <c r="BP59" s="2">
        <f t="shared" si="21"/>
        <v>6.790523607824535</v>
      </c>
      <c r="BQ59" s="2">
        <f t="shared" si="21"/>
        <v>7.4352364613257276</v>
      </c>
      <c r="BR59" s="2">
        <f t="shared" si="21"/>
        <v>5.908453201989075</v>
      </c>
      <c r="BS59" s="2">
        <f t="shared" si="21"/>
        <v>5.4129080535544203</v>
      </c>
      <c r="BT59" s="2">
        <f t="shared" si="21"/>
        <v>4.9214184277624051</v>
      </c>
      <c r="BU59" s="2">
        <f t="shared" si="21"/>
        <v>7.2322620099333061</v>
      </c>
      <c r="BV59" s="2">
        <f t="shared" si="21"/>
        <v>5.8633773496960204</v>
      </c>
      <c r="BW59" s="2">
        <f t="shared" si="21"/>
        <v>5.3875294583223532</v>
      </c>
      <c r="BX59" s="2">
        <f t="shared" si="21"/>
        <v>5.2641178160384312</v>
      </c>
      <c r="BY59" s="2">
        <f t="shared" si="21"/>
        <v>4.6368569794466961</v>
      </c>
      <c r="BZ59" s="2">
        <f t="shared" si="21"/>
        <v>7.2077528560671791</v>
      </c>
      <c r="CE59" s="3"/>
      <c r="CF59" s="3"/>
      <c r="CG59" s="3"/>
      <c r="CH59" s="3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1"/>
    </row>
    <row r="60" spans="1:104" x14ac:dyDescent="0.2">
      <c r="A60">
        <v>7295</v>
      </c>
      <c r="B60" s="2">
        <v>114</v>
      </c>
      <c r="C60" s="2" t="s">
        <v>8</v>
      </c>
      <c r="D60" s="2" t="s">
        <v>195</v>
      </c>
      <c r="E60" s="2" t="s">
        <v>194</v>
      </c>
      <c r="F60" s="2" t="s">
        <v>193</v>
      </c>
      <c r="G60" s="2" t="s">
        <v>192</v>
      </c>
      <c r="H60" s="2">
        <v>2</v>
      </c>
      <c r="I60" s="2" t="s">
        <v>191</v>
      </c>
      <c r="J60" s="2">
        <v>853.58369000000005</v>
      </c>
      <c r="K60" s="2">
        <v>853.58370000000002</v>
      </c>
      <c r="L60" s="2">
        <v>852.57531660000006</v>
      </c>
      <c r="M60" s="2">
        <v>4.7859999999999996</v>
      </c>
      <c r="N60" s="2">
        <v>4.79</v>
      </c>
      <c r="O60" s="2">
        <v>1.0006266973052016</v>
      </c>
      <c r="P60" s="5" t="s">
        <v>157</v>
      </c>
      <c r="Q60" s="2">
        <v>4.7869999999999999</v>
      </c>
      <c r="R60" s="2">
        <v>1</v>
      </c>
      <c r="S60" s="2" t="s">
        <v>2</v>
      </c>
      <c r="T60" s="2" t="s">
        <v>1</v>
      </c>
      <c r="AC60" s="2">
        <f t="shared" si="17"/>
        <v>0.5476714371177861</v>
      </c>
      <c r="AD60" s="2">
        <f t="shared" si="21"/>
        <v>0.36559017544067096</v>
      </c>
      <c r="AE60" s="2">
        <f t="shared" si="21"/>
        <v>0.51829635270695718</v>
      </c>
      <c r="AF60" s="2">
        <f t="shared" si="21"/>
        <v>0.48721266581694561</v>
      </c>
      <c r="AG60" s="2">
        <f t="shared" si="21"/>
        <v>0.54060443380941137</v>
      </c>
      <c r="AH60" s="2">
        <f t="shared" si="21"/>
        <v>0.67607467375113039</v>
      </c>
      <c r="AI60" s="2">
        <f t="shared" si="21"/>
        <v>0.54254655891154746</v>
      </c>
      <c r="AJ60" s="2">
        <f t="shared" si="21"/>
        <v>0.69683200194255701</v>
      </c>
      <c r="AK60" s="2">
        <f t="shared" si="21"/>
        <v>0.80202640489392407</v>
      </c>
      <c r="AL60" s="2">
        <f t="shared" si="21"/>
        <v>0.720209760552316</v>
      </c>
      <c r="AM60" s="2">
        <f t="shared" si="21"/>
        <v>0.83755059971924395</v>
      </c>
      <c r="AN60" s="2">
        <f t="shared" si="21"/>
        <v>0.57642770731632309</v>
      </c>
      <c r="AO60" s="2">
        <f t="shared" si="21"/>
        <v>0.7161904837694465</v>
      </c>
      <c r="AP60" s="2">
        <f t="shared" si="21"/>
        <v>0.81492818336392081</v>
      </c>
      <c r="AQ60" s="2">
        <f t="shared" si="21"/>
        <v>0.70599662053651302</v>
      </c>
      <c r="AR60" s="2">
        <f t="shared" si="21"/>
        <v>0.75163567002673359</v>
      </c>
      <c r="AS60" s="2">
        <f t="shared" si="21"/>
        <v>0.82483886057508682</v>
      </c>
      <c r="AT60" s="2">
        <f t="shared" si="21"/>
        <v>0.36041613045511711</v>
      </c>
      <c r="AU60" s="2">
        <f t="shared" si="21"/>
        <v>0.61190613370017177</v>
      </c>
      <c r="AV60" s="2">
        <f t="shared" si="21"/>
        <v>0.54753905598694685</v>
      </c>
      <c r="AW60" s="2">
        <f t="shared" si="21"/>
        <v>0.64017332394422133</v>
      </c>
      <c r="AX60" s="2">
        <f t="shared" si="21"/>
        <v>0.65894521252488025</v>
      </c>
      <c r="AY60" s="2">
        <f t="shared" si="21"/>
        <v>0.63227982300415753</v>
      </c>
      <c r="AZ60" s="2">
        <f t="shared" si="21"/>
        <v>0.58538258946914346</v>
      </c>
      <c r="BA60" s="2">
        <f t="shared" si="21"/>
        <v>0.65959027152799932</v>
      </c>
      <c r="BB60" s="2">
        <f t="shared" si="21"/>
        <v>0.5256277808233103</v>
      </c>
      <c r="BC60" s="2">
        <f t="shared" si="21"/>
        <v>0.54402738371291137</v>
      </c>
      <c r="BD60" s="2">
        <f t="shared" si="21"/>
        <v>0.67007755110877332</v>
      </c>
      <c r="BE60" s="2">
        <f t="shared" si="21"/>
        <v>0.61120692278754107</v>
      </c>
      <c r="BF60" s="2">
        <f t="shared" si="21"/>
        <v>0.48692001248138178</v>
      </c>
      <c r="BG60" s="2">
        <f t="shared" si="21"/>
        <v>0.41654119245571924</v>
      </c>
      <c r="BH60" s="2">
        <f t="shared" si="21"/>
        <v>0.45014260318035154</v>
      </c>
      <c r="BI60" s="2">
        <f t="shared" si="21"/>
        <v>0.43324857550415002</v>
      </c>
      <c r="BJ60" s="2">
        <f t="shared" si="21"/>
        <v>0.48690557740282547</v>
      </c>
      <c r="BK60" s="2">
        <f t="shared" si="21"/>
        <v>0.41652959827424707</v>
      </c>
      <c r="BL60" s="2">
        <f t="shared" si="21"/>
        <v>0.52975399871034967</v>
      </c>
      <c r="BM60" s="2">
        <f t="shared" si="21"/>
        <v>0.45447275107990143</v>
      </c>
      <c r="BN60" s="2">
        <f t="shared" si="21"/>
        <v>0.47437017364077522</v>
      </c>
      <c r="BO60" s="2">
        <f t="shared" si="21"/>
        <v>0.44290520045045367</v>
      </c>
      <c r="BP60" s="2">
        <f t="shared" si="21"/>
        <v>0.71319435836971323</v>
      </c>
      <c r="BQ60" s="2">
        <f t="shared" si="21"/>
        <v>0.67607907750298579</v>
      </c>
      <c r="BR60" s="2">
        <f t="shared" si="21"/>
        <v>0.5490050943619551</v>
      </c>
      <c r="BS60" s="2">
        <f t="shared" si="21"/>
        <v>0.42264839319196773</v>
      </c>
      <c r="BT60" s="2">
        <f t="shared" si="21"/>
        <v>0.45052244172184203</v>
      </c>
      <c r="BU60" s="2">
        <f t="shared" si="21"/>
        <v>0.67683931433663502</v>
      </c>
      <c r="BV60" s="2">
        <f t="shared" si="21"/>
        <v>0.50043675226181228</v>
      </c>
      <c r="BW60" s="2">
        <f t="shared" si="21"/>
        <v>0.49310763434219268</v>
      </c>
      <c r="BX60" s="2">
        <f t="shared" si="21"/>
        <v>0.46552630457244548</v>
      </c>
      <c r="BY60" s="2">
        <f t="shared" si="21"/>
        <v>0.37929306140578678</v>
      </c>
      <c r="BZ60" s="2">
        <f t="shared" si="21"/>
        <v>0.60108764696528472</v>
      </c>
      <c r="CE60" s="3"/>
      <c r="CF60" s="3"/>
      <c r="CG60" s="3"/>
      <c r="CH60" s="3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1"/>
    </row>
    <row r="61" spans="1:104" x14ac:dyDescent="0.2">
      <c r="A61">
        <v>7293</v>
      </c>
      <c r="B61" s="2">
        <v>112</v>
      </c>
      <c r="C61" s="2" t="s">
        <v>8</v>
      </c>
      <c r="D61" s="2" t="s">
        <v>190</v>
      </c>
      <c r="E61" s="2" t="s">
        <v>189</v>
      </c>
      <c r="F61" s="2" t="s">
        <v>188</v>
      </c>
      <c r="G61" s="2" t="s">
        <v>187</v>
      </c>
      <c r="H61" s="2">
        <v>2</v>
      </c>
      <c r="I61" s="2" t="s">
        <v>182</v>
      </c>
      <c r="J61" s="2">
        <v>851.56939999999997</v>
      </c>
      <c r="K61" s="2">
        <v>851.56939999999997</v>
      </c>
      <c r="L61" s="2">
        <v>850.56102659999999</v>
      </c>
      <c r="M61" s="2">
        <v>4.28</v>
      </c>
      <c r="N61" s="2">
        <v>4.28</v>
      </c>
      <c r="O61" s="2">
        <v>0.89408815542093178</v>
      </c>
      <c r="P61" s="5" t="s">
        <v>157</v>
      </c>
      <c r="Q61" s="2">
        <v>4.7869999999999999</v>
      </c>
      <c r="R61" s="2">
        <v>1</v>
      </c>
      <c r="S61" s="2" t="s">
        <v>2</v>
      </c>
      <c r="T61" s="2" t="s">
        <v>1</v>
      </c>
      <c r="AC61" s="2">
        <f t="shared" si="17"/>
        <v>13.297406308707021</v>
      </c>
      <c r="AD61" s="2">
        <f t="shared" si="21"/>
        <v>14.467010461507488</v>
      </c>
      <c r="AE61" s="2">
        <f t="shared" si="21"/>
        <v>13.414203442385187</v>
      </c>
      <c r="AF61" s="2">
        <f t="shared" si="21"/>
        <v>15.269848891370732</v>
      </c>
      <c r="AG61" s="2">
        <f t="shared" si="21"/>
        <v>14.684879513272158</v>
      </c>
      <c r="AH61" s="2">
        <f t="shared" si="21"/>
        <v>16.298318893535637</v>
      </c>
      <c r="AI61" s="2">
        <f t="shared" si="21"/>
        <v>14.844030305106244</v>
      </c>
      <c r="AJ61" s="2">
        <f t="shared" si="21"/>
        <v>15.9614380185948</v>
      </c>
      <c r="AK61" s="2">
        <f t="shared" si="21"/>
        <v>18.045920034888713</v>
      </c>
      <c r="AL61" s="2">
        <f t="shared" si="21"/>
        <v>14.963436317286332</v>
      </c>
      <c r="AM61" s="2">
        <f t="shared" si="21"/>
        <v>18.144905548762544</v>
      </c>
      <c r="AN61" s="2">
        <f t="shared" si="21"/>
        <v>11.002141263682555</v>
      </c>
      <c r="AO61" s="2">
        <f t="shared" si="21"/>
        <v>14.827892791402981</v>
      </c>
      <c r="AP61" s="2">
        <f t="shared" si="21"/>
        <v>15.169399005373766</v>
      </c>
      <c r="AQ61" s="2">
        <f t="shared" si="21"/>
        <v>14.774723847109092</v>
      </c>
      <c r="AR61" s="2">
        <f t="shared" si="21"/>
        <v>16.765352574961849</v>
      </c>
      <c r="AS61" s="2">
        <f t="shared" si="21"/>
        <v>20.109857956682184</v>
      </c>
      <c r="AT61" s="2">
        <f t="shared" si="21"/>
        <v>8.8512563044602608</v>
      </c>
      <c r="AU61" s="2">
        <f t="shared" si="21"/>
        <v>15.587561656826818</v>
      </c>
      <c r="AV61" s="2">
        <f t="shared" si="21"/>
        <v>15.943081040978281</v>
      </c>
      <c r="AW61" s="2">
        <f t="shared" si="21"/>
        <v>14.333887997677069</v>
      </c>
      <c r="AX61" s="2">
        <f t="shared" si="21"/>
        <v>18.126388733420495</v>
      </c>
      <c r="AY61" s="2">
        <f t="shared" si="21"/>
        <v>14.537415674310481</v>
      </c>
      <c r="AZ61" s="2">
        <f t="shared" si="21"/>
        <v>14.27123638129568</v>
      </c>
      <c r="BA61" s="2">
        <f t="shared" si="21"/>
        <v>15.350597749714755</v>
      </c>
      <c r="BB61" s="2">
        <f t="shared" si="21"/>
        <v>15.592263773977558</v>
      </c>
      <c r="BC61" s="2">
        <f t="shared" si="21"/>
        <v>16.89135032599258</v>
      </c>
      <c r="BD61" s="2">
        <f t="shared" si="21"/>
        <v>22.094268321634473</v>
      </c>
      <c r="BE61" s="2">
        <f t="shared" si="21"/>
        <v>21.900298650742059</v>
      </c>
      <c r="BF61" s="2">
        <f t="shared" si="21"/>
        <v>16.330278472802735</v>
      </c>
      <c r="BG61" s="2">
        <f t="shared" si="21"/>
        <v>13.887960220176852</v>
      </c>
      <c r="BH61" s="2">
        <f t="shared" si="21"/>
        <v>14.791166843957326</v>
      </c>
      <c r="BI61" s="2">
        <f t="shared" si="21"/>
        <v>15.068136637128557</v>
      </c>
      <c r="BJ61" s="2">
        <f t="shared" si="21"/>
        <v>14.674885908165217</v>
      </c>
      <c r="BK61" s="2">
        <f t="shared" si="21"/>
        <v>12.890261244759913</v>
      </c>
      <c r="BL61" s="2">
        <f t="shared" si="21"/>
        <v>16.265607884051985</v>
      </c>
      <c r="BM61" s="2">
        <f t="shared" si="21"/>
        <v>14.684935467989815</v>
      </c>
      <c r="BN61" s="2">
        <f t="shared" si="21"/>
        <v>13.106725352556072</v>
      </c>
      <c r="BO61" s="2">
        <f t="shared" si="21"/>
        <v>13.550106957535803</v>
      </c>
      <c r="BP61" s="2">
        <f t="shared" si="21"/>
        <v>19.678837702811602</v>
      </c>
      <c r="BQ61" s="2">
        <f t="shared" si="21"/>
        <v>20.604564182406982</v>
      </c>
      <c r="BR61" s="2">
        <f t="shared" si="21"/>
        <v>16.289613030643935</v>
      </c>
      <c r="BS61" s="2">
        <f t="shared" si="21"/>
        <v>15.056058510308768</v>
      </c>
      <c r="BT61" s="2">
        <f t="shared" si="21"/>
        <v>14.458309732067923</v>
      </c>
      <c r="BU61" s="2">
        <f t="shared" si="21"/>
        <v>20.298043356400932</v>
      </c>
      <c r="BV61" s="2">
        <f t="shared" si="21"/>
        <v>15.043134492436192</v>
      </c>
      <c r="BW61" s="2">
        <f t="shared" si="21"/>
        <v>14.178929923209399</v>
      </c>
      <c r="BX61" s="2">
        <f t="shared" si="21"/>
        <v>11.948494373753896</v>
      </c>
      <c r="BY61" s="2">
        <f t="shared" si="21"/>
        <v>10.707687149864183</v>
      </c>
      <c r="BZ61" s="2">
        <f t="shared" si="21"/>
        <v>19.197992269829747</v>
      </c>
      <c r="CE61" s="3"/>
      <c r="CF61" s="3"/>
      <c r="CG61" s="3"/>
      <c r="CH61" s="3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1"/>
    </row>
    <row r="62" spans="1:104" x14ac:dyDescent="0.2">
      <c r="A62">
        <v>7292</v>
      </c>
      <c r="B62" s="2">
        <v>110</v>
      </c>
      <c r="C62" s="2" t="s">
        <v>8</v>
      </c>
      <c r="D62" s="2" t="s">
        <v>186</v>
      </c>
      <c r="E62" s="2" t="s">
        <v>185</v>
      </c>
      <c r="F62" s="2" t="s">
        <v>184</v>
      </c>
      <c r="G62" s="2" t="s">
        <v>183</v>
      </c>
      <c r="H62" s="2">
        <v>2</v>
      </c>
      <c r="I62" s="2" t="s">
        <v>182</v>
      </c>
      <c r="J62" s="2">
        <v>851.56939999999997</v>
      </c>
      <c r="K62" s="2">
        <v>851.56939999999997</v>
      </c>
      <c r="L62" s="2">
        <v>850.56102659999999</v>
      </c>
      <c r="M62" s="2">
        <v>3.9729999999999999</v>
      </c>
      <c r="N62" s="2">
        <v>3.97</v>
      </c>
      <c r="O62" s="2">
        <v>0.82932943388343439</v>
      </c>
      <c r="P62" s="5" t="s">
        <v>157</v>
      </c>
      <c r="Q62" s="2">
        <v>4.7869999999999999</v>
      </c>
      <c r="R62" s="2">
        <v>1</v>
      </c>
      <c r="S62" s="2" t="s">
        <v>2</v>
      </c>
      <c r="T62" s="2" t="s">
        <v>1</v>
      </c>
      <c r="AC62" s="2">
        <f t="shared" si="17"/>
        <v>1.2496626016058652</v>
      </c>
      <c r="AD62" s="2">
        <f t="shared" si="21"/>
        <v>1.305945970418916</v>
      </c>
      <c r="AE62" s="2">
        <f t="shared" si="21"/>
        <v>1.2017679038083253</v>
      </c>
      <c r="AF62" s="2">
        <f t="shared" si="21"/>
        <v>1.1228271446930131</v>
      </c>
      <c r="AG62" s="2">
        <f t="shared" si="21"/>
        <v>1.0628131498394471</v>
      </c>
      <c r="AH62" s="2">
        <f t="shared" si="21"/>
        <v>1.6194833848541179</v>
      </c>
      <c r="AI62" s="2">
        <f t="shared" si="21"/>
        <v>1.2933720198822165</v>
      </c>
      <c r="AJ62" s="2">
        <f t="shared" si="21"/>
        <v>1.7581842386622746</v>
      </c>
      <c r="AK62" s="2">
        <f t="shared" si="21"/>
        <v>1.8019379826027961</v>
      </c>
      <c r="AL62" s="2">
        <f t="shared" si="21"/>
        <v>1.2202592900844023</v>
      </c>
      <c r="AM62" s="2">
        <f t="shared" si="21"/>
        <v>2.2858165762000344</v>
      </c>
      <c r="AN62" s="2">
        <f t="shared" si="21"/>
        <v>1.1173806082272533</v>
      </c>
      <c r="AO62" s="2">
        <f t="shared" si="21"/>
        <v>1.4928413846521682</v>
      </c>
      <c r="AP62" s="2">
        <f t="shared" si="21"/>
        <v>1.5062374340358053</v>
      </c>
      <c r="AQ62" s="2">
        <f t="shared" si="21"/>
        <v>1.5498265820339712</v>
      </c>
      <c r="AR62" s="2">
        <f t="shared" si="21"/>
        <v>1.7844681855091515</v>
      </c>
      <c r="AS62" s="2">
        <f t="shared" si="21"/>
        <v>1.9834626671766844</v>
      </c>
      <c r="AT62" s="2">
        <f t="shared" ref="AD62:BZ67" si="22">(AT29/AT$2)*2.00695</f>
        <v>1.2464502775541249</v>
      </c>
      <c r="AU62" s="2">
        <f t="shared" si="22"/>
        <v>1.7531912739428737</v>
      </c>
      <c r="AV62" s="2">
        <f t="shared" si="22"/>
        <v>1.144749455517649</v>
      </c>
      <c r="AW62" s="2">
        <f t="shared" si="22"/>
        <v>1.4516832945571261</v>
      </c>
      <c r="AX62" s="2">
        <f t="shared" si="22"/>
        <v>1.7075236165752079</v>
      </c>
      <c r="AY62" s="2">
        <f t="shared" si="22"/>
        <v>1.3357130827803358</v>
      </c>
      <c r="AZ62" s="2">
        <f t="shared" si="22"/>
        <v>1.2494397862714626</v>
      </c>
      <c r="BA62" s="2">
        <f t="shared" si="22"/>
        <v>1.7552343082840898</v>
      </c>
      <c r="BB62" s="2">
        <f t="shared" si="22"/>
        <v>1.7193650648349661</v>
      </c>
      <c r="BC62" s="2">
        <f t="shared" si="22"/>
        <v>1.7790739763253531</v>
      </c>
      <c r="BD62" s="2">
        <f t="shared" si="22"/>
        <v>1.7949382268454894</v>
      </c>
      <c r="BE62" s="2">
        <f t="shared" si="22"/>
        <v>1.9705063291157563</v>
      </c>
      <c r="BF62" s="2">
        <f t="shared" si="22"/>
        <v>1.3351379707644049</v>
      </c>
      <c r="BG62" s="2">
        <f t="shared" si="22"/>
        <v>1.2974082572488843</v>
      </c>
      <c r="BH62" s="2">
        <f t="shared" si="22"/>
        <v>1.4432859374964178</v>
      </c>
      <c r="BI62" s="2">
        <f t="shared" si="22"/>
        <v>1.1999781863514787</v>
      </c>
      <c r="BJ62" s="2">
        <f t="shared" si="22"/>
        <v>1.3315676520176252</v>
      </c>
      <c r="BK62" s="2">
        <f t="shared" si="22"/>
        <v>1.0900627456886025</v>
      </c>
      <c r="BL62" s="2">
        <f t="shared" si="22"/>
        <v>1.5340711766761796</v>
      </c>
      <c r="BM62" s="2">
        <f t="shared" si="22"/>
        <v>1.500060587724148</v>
      </c>
      <c r="BN62" s="2">
        <f t="shared" si="22"/>
        <v>1.2703617793088149</v>
      </c>
      <c r="BO62" s="2">
        <f t="shared" si="22"/>
        <v>1.4121602663702442</v>
      </c>
      <c r="BP62" s="2">
        <f t="shared" si="22"/>
        <v>1.7327902624213132</v>
      </c>
      <c r="BQ62" s="2">
        <f t="shared" si="22"/>
        <v>1.7031399665612736</v>
      </c>
      <c r="BR62" s="2">
        <f t="shared" si="22"/>
        <v>1.8258689307808103</v>
      </c>
      <c r="BS62" s="2">
        <f t="shared" si="22"/>
        <v>1.6927300690207796</v>
      </c>
      <c r="BT62" s="2">
        <f t="shared" si="22"/>
        <v>1.1474838841996313</v>
      </c>
      <c r="BU62" s="2">
        <f t="shared" si="22"/>
        <v>2.0871134668672062</v>
      </c>
      <c r="BV62" s="2">
        <f t="shared" si="22"/>
        <v>1.5374031096196901</v>
      </c>
      <c r="BW62" s="2">
        <f t="shared" si="22"/>
        <v>1.624486317950993</v>
      </c>
      <c r="BX62" s="2">
        <f t="shared" si="22"/>
        <v>1.3400691780231337</v>
      </c>
      <c r="BY62" s="2">
        <f t="shared" si="22"/>
        <v>1.2318303195883034</v>
      </c>
      <c r="BZ62" s="2">
        <f t="shared" si="22"/>
        <v>1.9285417438468073</v>
      </c>
      <c r="CE62" s="3"/>
      <c r="CF62" s="3"/>
      <c r="CG62" s="3"/>
      <c r="CH62" s="3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1"/>
    </row>
    <row r="63" spans="1:104" x14ac:dyDescent="0.2">
      <c r="A63">
        <v>7291</v>
      </c>
      <c r="B63" s="2">
        <v>109</v>
      </c>
      <c r="C63" s="2" t="s">
        <v>8</v>
      </c>
      <c r="D63" s="2" t="s">
        <v>181</v>
      </c>
      <c r="E63" s="2" t="s">
        <v>180</v>
      </c>
      <c r="F63" s="2" t="s">
        <v>179</v>
      </c>
      <c r="G63" s="2" t="s">
        <v>178</v>
      </c>
      <c r="H63" s="2">
        <v>2</v>
      </c>
      <c r="I63" s="2" t="s">
        <v>177</v>
      </c>
      <c r="J63" s="2">
        <v>883.63088000000005</v>
      </c>
      <c r="K63" s="2">
        <v>883.6309</v>
      </c>
      <c r="L63" s="2">
        <v>882.62250660000007</v>
      </c>
      <c r="M63" s="2">
        <v>5.9770000000000003</v>
      </c>
      <c r="N63" s="2">
        <v>5.98</v>
      </c>
      <c r="O63" s="2">
        <v>1.2492166283684982</v>
      </c>
      <c r="P63" s="5" t="s">
        <v>157</v>
      </c>
      <c r="Q63" s="2">
        <v>4.7869999999999999</v>
      </c>
      <c r="R63" s="2">
        <v>1</v>
      </c>
      <c r="S63" s="2" t="s">
        <v>2</v>
      </c>
      <c r="T63" s="2" t="s">
        <v>1</v>
      </c>
      <c r="AC63" s="2">
        <f t="shared" si="17"/>
        <v>9.8059518111683661E-2</v>
      </c>
      <c r="AD63" s="2">
        <f t="shared" si="22"/>
        <v>8.9647500863299631E-2</v>
      </c>
      <c r="AE63" s="2">
        <f t="shared" si="22"/>
        <v>7.9571580958176263E-2</v>
      </c>
      <c r="AF63" s="2">
        <f t="shared" si="22"/>
        <v>0.10133195741515301</v>
      </c>
      <c r="AG63" s="2">
        <f t="shared" si="22"/>
        <v>9.4062155141062143E-2</v>
      </c>
      <c r="AH63" s="2">
        <f t="shared" si="22"/>
        <v>0.11943960222552404</v>
      </c>
      <c r="AI63" s="2">
        <f t="shared" si="22"/>
        <v>9.4768424191568862E-2</v>
      </c>
      <c r="AJ63" s="2">
        <f t="shared" si="22"/>
        <v>0.1324316543792371</v>
      </c>
      <c r="AK63" s="2">
        <f t="shared" si="22"/>
        <v>0.1578903391787978</v>
      </c>
      <c r="AL63" s="2">
        <f t="shared" si="22"/>
        <v>0.11708038553573209</v>
      </c>
      <c r="AM63" s="2">
        <f t="shared" si="22"/>
        <v>0.23079886233082736</v>
      </c>
      <c r="AN63" s="2">
        <f t="shared" si="22"/>
        <v>9.9340384749431909E-2</v>
      </c>
      <c r="AO63" s="2">
        <f t="shared" si="22"/>
        <v>0.16017237964802833</v>
      </c>
      <c r="AP63" s="2">
        <f t="shared" si="22"/>
        <v>0.18332393392159846</v>
      </c>
      <c r="AQ63" s="2">
        <f t="shared" si="22"/>
        <v>0.1428488262771751</v>
      </c>
      <c r="AR63" s="2">
        <f t="shared" si="22"/>
        <v>0.17327154140492557</v>
      </c>
      <c r="AS63" s="2">
        <f t="shared" si="22"/>
        <v>0.19845175942758539</v>
      </c>
      <c r="AT63" s="2">
        <f t="shared" si="22"/>
        <v>9.6284747207268748E-2</v>
      </c>
      <c r="AU63" s="2">
        <f t="shared" si="22"/>
        <v>0.13946326345995635</v>
      </c>
      <c r="AV63" s="2">
        <f t="shared" si="22"/>
        <v>0.10546808185506616</v>
      </c>
      <c r="AW63" s="2">
        <f t="shared" si="22"/>
        <v>0.12730052300703751</v>
      </c>
      <c r="AX63" s="2">
        <f t="shared" si="22"/>
        <v>0.1371451599830458</v>
      </c>
      <c r="AY63" s="2">
        <f t="shared" si="22"/>
        <v>0.13023038008137691</v>
      </c>
      <c r="AZ63" s="2">
        <f t="shared" si="22"/>
        <v>0.12691433684966708</v>
      </c>
      <c r="BA63" s="2">
        <f t="shared" si="22"/>
        <v>0.16583139920049125</v>
      </c>
      <c r="BB63" s="2">
        <f t="shared" si="22"/>
        <v>0.14441509253999676</v>
      </c>
      <c r="BC63" s="2">
        <f t="shared" si="22"/>
        <v>0.1329310288217958</v>
      </c>
      <c r="BD63" s="2">
        <f t="shared" si="22"/>
        <v>0.15394522775356517</v>
      </c>
      <c r="BE63" s="2">
        <f t="shared" si="22"/>
        <v>0.15187420415258093</v>
      </c>
      <c r="BF63" s="2">
        <f t="shared" si="22"/>
        <v>0.11747061826460486</v>
      </c>
      <c r="BG63" s="2">
        <f t="shared" si="22"/>
        <v>0.10070603331839145</v>
      </c>
      <c r="BH63" s="2">
        <f t="shared" si="22"/>
        <v>0.11826564456154927</v>
      </c>
      <c r="BI63" s="2">
        <f t="shared" si="22"/>
        <v>0.10717975056974613</v>
      </c>
      <c r="BJ63" s="2">
        <f t="shared" si="22"/>
        <v>0.11480538833471185</v>
      </c>
      <c r="BK63" s="2">
        <f t="shared" si="22"/>
        <v>0.11009062079926901</v>
      </c>
      <c r="BL63" s="2">
        <f t="shared" si="22"/>
        <v>0.14920107873422811</v>
      </c>
      <c r="BM63" s="2">
        <f t="shared" si="22"/>
        <v>0.11955638463202892</v>
      </c>
      <c r="BN63" s="2">
        <f t="shared" si="22"/>
        <v>0.11980941740435765</v>
      </c>
      <c r="BO63" s="2">
        <f t="shared" si="22"/>
        <v>0.11765419291787045</v>
      </c>
      <c r="BP63" s="2">
        <f t="shared" si="22"/>
        <v>0.20079788320963179</v>
      </c>
      <c r="BQ63" s="2">
        <f t="shared" si="22"/>
        <v>0.14954647506345206</v>
      </c>
      <c r="BR63" s="2">
        <f t="shared" si="22"/>
        <v>0.10879271876186712</v>
      </c>
      <c r="BS63" s="2">
        <f t="shared" si="22"/>
        <v>0.10931202092481368</v>
      </c>
      <c r="BT63" s="2">
        <f t="shared" si="22"/>
        <v>9.0495045168089525E-2</v>
      </c>
      <c r="BU63" s="2">
        <f t="shared" si="22"/>
        <v>0.17662833166495867</v>
      </c>
      <c r="BV63" s="2">
        <f t="shared" si="22"/>
        <v>0.15792092498468177</v>
      </c>
      <c r="BW63" s="2">
        <f t="shared" si="22"/>
        <v>0.18625160171653976</v>
      </c>
      <c r="BX63" s="2">
        <f t="shared" si="22"/>
        <v>0.15523670443052462</v>
      </c>
      <c r="BY63" s="2">
        <f t="shared" si="22"/>
        <v>0.1281868569645255</v>
      </c>
      <c r="BZ63" s="2">
        <f t="shared" si="22"/>
        <v>0.21034170875340458</v>
      </c>
      <c r="CE63" s="3"/>
      <c r="CF63" s="3"/>
      <c r="CG63" s="3"/>
      <c r="CH63" s="3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1"/>
    </row>
    <row r="64" spans="1:104" x14ac:dyDescent="0.2">
      <c r="A64">
        <v>7290</v>
      </c>
      <c r="B64" s="2">
        <v>107</v>
      </c>
      <c r="C64" s="2" t="s">
        <v>8</v>
      </c>
      <c r="D64" s="2" t="s">
        <v>176</v>
      </c>
      <c r="E64" s="2" t="s">
        <v>175</v>
      </c>
      <c r="F64" s="2" t="s">
        <v>174</v>
      </c>
      <c r="G64" s="2" t="s">
        <v>173</v>
      </c>
      <c r="H64" s="2">
        <v>2</v>
      </c>
      <c r="I64" s="2" t="s">
        <v>172</v>
      </c>
      <c r="J64" s="2">
        <v>879.60023999999999</v>
      </c>
      <c r="K64" s="2">
        <v>879.60019999999997</v>
      </c>
      <c r="L64" s="2">
        <v>878.5918666</v>
      </c>
      <c r="M64" s="2">
        <v>5.109</v>
      </c>
      <c r="N64" s="2">
        <v>5.1100000000000003</v>
      </c>
      <c r="O64" s="2">
        <v>1.0674744098600377</v>
      </c>
      <c r="P64" s="5" t="s">
        <v>157</v>
      </c>
      <c r="Q64" s="2">
        <v>4.7869999999999999</v>
      </c>
      <c r="R64" s="2">
        <v>1</v>
      </c>
      <c r="S64" s="2" t="s">
        <v>2</v>
      </c>
      <c r="T64" s="2" t="s">
        <v>1</v>
      </c>
      <c r="AC64" s="2">
        <f t="shared" si="17"/>
        <v>1.9744942629866629</v>
      </c>
      <c r="AD64" s="2">
        <f t="shared" si="22"/>
        <v>2.0555612692329368</v>
      </c>
      <c r="AE64" s="2">
        <f t="shared" si="22"/>
        <v>1.7354125657418593</v>
      </c>
      <c r="AF64" s="2">
        <f t="shared" si="22"/>
        <v>2.1722264235211006</v>
      </c>
      <c r="AG64" s="2">
        <f t="shared" si="22"/>
        <v>2.2547040755498617</v>
      </c>
      <c r="AH64" s="2">
        <f t="shared" si="22"/>
        <v>2.453370469281356</v>
      </c>
      <c r="AI64" s="2">
        <f t="shared" si="22"/>
        <v>2.0342447753812087</v>
      </c>
      <c r="AJ64" s="2">
        <f t="shared" si="22"/>
        <v>2.4150168201223154</v>
      </c>
      <c r="AK64" s="2">
        <f t="shared" si="22"/>
        <v>2.9270005155293197</v>
      </c>
      <c r="AL64" s="2">
        <f t="shared" si="22"/>
        <v>2.1234807129186151</v>
      </c>
      <c r="AM64" s="2">
        <f t="shared" si="22"/>
        <v>3.3935963264826672</v>
      </c>
      <c r="AN64" s="2">
        <f t="shared" si="22"/>
        <v>1.7206667738571981</v>
      </c>
      <c r="AO64" s="2">
        <f t="shared" si="22"/>
        <v>2.2758744899770909</v>
      </c>
      <c r="AP64" s="2">
        <f t="shared" si="22"/>
        <v>2.5917492470298282</v>
      </c>
      <c r="AQ64" s="2">
        <f t="shared" si="22"/>
        <v>2.4022911777831055</v>
      </c>
      <c r="AR64" s="2">
        <f t="shared" si="22"/>
        <v>3.343442369912657</v>
      </c>
      <c r="AS64" s="2">
        <f t="shared" si="22"/>
        <v>3.6768802297835763</v>
      </c>
      <c r="AT64" s="2">
        <f t="shared" si="22"/>
        <v>2.131570173712023</v>
      </c>
      <c r="AU64" s="2">
        <f t="shared" si="22"/>
        <v>2.898609322343658</v>
      </c>
      <c r="AV64" s="2">
        <f t="shared" si="22"/>
        <v>2.5835424178338209</v>
      </c>
      <c r="AW64" s="2">
        <f t="shared" si="22"/>
        <v>2.2663786029477544</v>
      </c>
      <c r="AX64" s="2">
        <f t="shared" si="22"/>
        <v>2.6835513657690262</v>
      </c>
      <c r="AY64" s="2">
        <f t="shared" si="22"/>
        <v>2.3859836132686216</v>
      </c>
      <c r="AZ64" s="2">
        <f t="shared" si="22"/>
        <v>2.4885392009952656</v>
      </c>
      <c r="BA64" s="2">
        <f t="shared" si="22"/>
        <v>3.0213595104357784</v>
      </c>
      <c r="BB64" s="2">
        <f t="shared" si="22"/>
        <v>2.6766420750927207</v>
      </c>
      <c r="BC64" s="2">
        <f t="shared" si="22"/>
        <v>2.6168131707468807</v>
      </c>
      <c r="BD64" s="2">
        <f t="shared" si="22"/>
        <v>3.0109307918624397</v>
      </c>
      <c r="BE64" s="2">
        <f t="shared" si="22"/>
        <v>3.4092625493517787</v>
      </c>
      <c r="BF64" s="2">
        <f t="shared" si="22"/>
        <v>2.3774763622339501</v>
      </c>
      <c r="BG64" s="2">
        <f t="shared" si="22"/>
        <v>2.1715781710056592</v>
      </c>
      <c r="BH64" s="2">
        <f t="shared" si="22"/>
        <v>2.2360142239900904</v>
      </c>
      <c r="BI64" s="2">
        <f t="shared" si="22"/>
        <v>2.1115291972933665</v>
      </c>
      <c r="BJ64" s="2">
        <f t="shared" si="22"/>
        <v>2.2314230193895215</v>
      </c>
      <c r="BK64" s="2">
        <f t="shared" si="22"/>
        <v>2.0590109765340716</v>
      </c>
      <c r="BL64" s="2">
        <f t="shared" si="22"/>
        <v>2.4998647792680444</v>
      </c>
      <c r="BM64" s="2">
        <f t="shared" si="22"/>
        <v>2.611792709457716</v>
      </c>
      <c r="BN64" s="2">
        <f t="shared" si="22"/>
        <v>2.1065321497098424</v>
      </c>
      <c r="BO64" s="2">
        <f t="shared" si="22"/>
        <v>2.2963467911600253</v>
      </c>
      <c r="BP64" s="2">
        <f t="shared" si="22"/>
        <v>3.4024931410522798</v>
      </c>
      <c r="BQ64" s="2">
        <f t="shared" si="22"/>
        <v>2.7738538909444723</v>
      </c>
      <c r="BR64" s="2">
        <f t="shared" si="22"/>
        <v>2.9547813872181248</v>
      </c>
      <c r="BS64" s="2">
        <f t="shared" si="22"/>
        <v>2.7132213691202445</v>
      </c>
      <c r="BT64" s="2">
        <f t="shared" si="22"/>
        <v>2.0594930809448657</v>
      </c>
      <c r="BU64" s="2">
        <f t="shared" si="22"/>
        <v>3.4491119581885057</v>
      </c>
      <c r="BV64" s="2">
        <f t="shared" si="22"/>
        <v>2.7260721874696516</v>
      </c>
      <c r="BW64" s="2">
        <f t="shared" si="22"/>
        <v>3.1090456656271908</v>
      </c>
      <c r="BX64" s="2">
        <f t="shared" si="22"/>
        <v>2.2310412271500804</v>
      </c>
      <c r="BY64" s="2">
        <f t="shared" si="22"/>
        <v>2.1085320806642422</v>
      </c>
      <c r="BZ64" s="2">
        <f t="shared" si="22"/>
        <v>3.8446548850808915</v>
      </c>
      <c r="CE64" s="3"/>
      <c r="CF64" s="3"/>
      <c r="CG64" s="3"/>
      <c r="CH64" s="3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1"/>
    </row>
    <row r="65" spans="1:104" x14ac:dyDescent="0.2">
      <c r="A65">
        <v>7289</v>
      </c>
      <c r="B65" s="2">
        <v>106</v>
      </c>
      <c r="C65" s="2" t="s">
        <v>8</v>
      </c>
      <c r="D65" s="2" t="s">
        <v>171</v>
      </c>
      <c r="E65" s="2" t="s">
        <v>170</v>
      </c>
      <c r="F65" s="2" t="s">
        <v>169</v>
      </c>
      <c r="G65" s="2" t="s">
        <v>168</v>
      </c>
      <c r="H65" s="2">
        <v>2</v>
      </c>
      <c r="I65" s="2" t="s">
        <v>163</v>
      </c>
      <c r="J65" s="2">
        <v>877.58360000000005</v>
      </c>
      <c r="K65" s="2">
        <v>877.58360000000005</v>
      </c>
      <c r="L65" s="2">
        <v>876.57522660000006</v>
      </c>
      <c r="M65" s="2">
        <v>4.3360000000000003</v>
      </c>
      <c r="N65" s="2">
        <v>4.34</v>
      </c>
      <c r="O65" s="2">
        <v>0.90662210152496348</v>
      </c>
      <c r="P65" s="5" t="s">
        <v>157</v>
      </c>
      <c r="Q65" s="2">
        <v>4.7869999999999999</v>
      </c>
      <c r="R65" s="2">
        <v>1</v>
      </c>
      <c r="S65" s="2" t="s">
        <v>2</v>
      </c>
      <c r="T65" s="2" t="s">
        <v>1</v>
      </c>
      <c r="AC65" s="2">
        <f t="shared" si="17"/>
        <v>0.66089449641417197</v>
      </c>
      <c r="AD65" s="2">
        <f t="shared" si="22"/>
        <v>0.67127691641551146</v>
      </c>
      <c r="AE65" s="2">
        <f t="shared" si="22"/>
        <v>0.60861019184681864</v>
      </c>
      <c r="AF65" s="2">
        <f t="shared" si="22"/>
        <v>0.62542872368529689</v>
      </c>
      <c r="AG65" s="2">
        <f t="shared" si="22"/>
        <v>0.64119250577691655</v>
      </c>
      <c r="AH65" s="2">
        <f t="shared" si="22"/>
        <v>0.73809918365835026</v>
      </c>
      <c r="AI65" s="2">
        <f t="shared" si="22"/>
        <v>0.64152372925626855</v>
      </c>
      <c r="AJ65" s="2">
        <f t="shared" si="22"/>
        <v>0.77892231432238912</v>
      </c>
      <c r="AK65" s="2">
        <f t="shared" si="22"/>
        <v>0.83183167220884724</v>
      </c>
      <c r="AL65" s="2">
        <f t="shared" si="22"/>
        <v>0.67233706181114161</v>
      </c>
      <c r="AM65" s="2">
        <f t="shared" si="22"/>
        <v>0.86632796336064122</v>
      </c>
      <c r="AN65" s="2">
        <f t="shared" si="22"/>
        <v>0.52935762932441932</v>
      </c>
      <c r="AO65" s="2">
        <f t="shared" si="22"/>
        <v>0.72200000381936524</v>
      </c>
      <c r="AP65" s="2">
        <f t="shared" si="22"/>
        <v>0.72282185394997434</v>
      </c>
      <c r="AQ65" s="2">
        <f t="shared" si="22"/>
        <v>0.68888566192672007</v>
      </c>
      <c r="AR65" s="2">
        <f t="shared" si="22"/>
        <v>0.77966792750165226</v>
      </c>
      <c r="AS65" s="2">
        <f t="shared" si="22"/>
        <v>1.0192269878096873</v>
      </c>
      <c r="AT65" s="2">
        <f t="shared" si="22"/>
        <v>0.38355916848846083</v>
      </c>
      <c r="AU65" s="2">
        <f t="shared" si="22"/>
        <v>0.76170368587640369</v>
      </c>
      <c r="AV65" s="2">
        <f t="shared" si="22"/>
        <v>0.73978777954367925</v>
      </c>
      <c r="AW65" s="2">
        <f t="shared" si="22"/>
        <v>0.62729272064739339</v>
      </c>
      <c r="AX65" s="2">
        <f t="shared" si="22"/>
        <v>0.8443917940592095</v>
      </c>
      <c r="AY65" s="2">
        <f t="shared" si="22"/>
        <v>0.65856766421694135</v>
      </c>
      <c r="AZ65" s="2">
        <f t="shared" si="22"/>
        <v>0.63704529279953526</v>
      </c>
      <c r="BA65" s="2">
        <f t="shared" si="22"/>
        <v>0.66603844658264855</v>
      </c>
      <c r="BB65" s="2">
        <f t="shared" si="22"/>
        <v>0.69837780549846507</v>
      </c>
      <c r="BC65" s="2">
        <f t="shared" si="22"/>
        <v>0.7158138267869133</v>
      </c>
      <c r="BD65" s="2">
        <f t="shared" si="22"/>
        <v>0.86287596646654541</v>
      </c>
      <c r="BE65" s="2">
        <f t="shared" si="22"/>
        <v>0.89400565424700729</v>
      </c>
      <c r="BF65" s="2">
        <f t="shared" si="22"/>
        <v>0.6406133113246173</v>
      </c>
      <c r="BG65" s="2">
        <f t="shared" si="22"/>
        <v>0.58624355779566328</v>
      </c>
      <c r="BH65" s="2">
        <f t="shared" si="22"/>
        <v>0.59851031146840139</v>
      </c>
      <c r="BI65" s="2">
        <f t="shared" si="22"/>
        <v>0.58349695889006614</v>
      </c>
      <c r="BJ65" s="2">
        <f t="shared" si="22"/>
        <v>0.63455586214512738</v>
      </c>
      <c r="BK65" s="2">
        <f t="shared" si="22"/>
        <v>0.56590376671898535</v>
      </c>
      <c r="BL65" s="2">
        <f t="shared" si="22"/>
        <v>0.66318808264552365</v>
      </c>
      <c r="BM65" s="2">
        <f t="shared" si="22"/>
        <v>0.66051468557382775</v>
      </c>
      <c r="BN65" s="2">
        <f t="shared" si="22"/>
        <v>0.54740461570115895</v>
      </c>
      <c r="BO65" s="2">
        <f t="shared" si="22"/>
        <v>0.56589269248507246</v>
      </c>
      <c r="BP65" s="2">
        <f t="shared" si="22"/>
        <v>0.84763149497819235</v>
      </c>
      <c r="BQ65" s="2">
        <f t="shared" si="22"/>
        <v>0.87085809726179009</v>
      </c>
      <c r="BR65" s="2">
        <f t="shared" si="22"/>
        <v>0.70210576326461127</v>
      </c>
      <c r="BS65" s="2">
        <f t="shared" si="22"/>
        <v>0.68566857052999763</v>
      </c>
      <c r="BT65" s="2">
        <f t="shared" si="22"/>
        <v>0.54920023326051182</v>
      </c>
      <c r="BU65" s="2">
        <f t="shared" si="22"/>
        <v>0.82819189674765936</v>
      </c>
      <c r="BV65" s="2">
        <f t="shared" si="22"/>
        <v>0.67999047751080188</v>
      </c>
      <c r="BW65" s="2">
        <f t="shared" si="22"/>
        <v>0.6274887973165143</v>
      </c>
      <c r="BX65" s="2">
        <f t="shared" si="22"/>
        <v>0.51675133509850968</v>
      </c>
      <c r="BY65" s="2">
        <f t="shared" si="22"/>
        <v>0.44849597555318121</v>
      </c>
      <c r="BZ65" s="2">
        <f t="shared" si="22"/>
        <v>0.79181771596336681</v>
      </c>
      <c r="CE65" s="3"/>
      <c r="CF65" s="3"/>
      <c r="CG65" s="3"/>
      <c r="CH65" s="3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1"/>
    </row>
    <row r="66" spans="1:104" x14ac:dyDescent="0.2">
      <c r="A66">
        <v>7288</v>
      </c>
      <c r="B66" s="2">
        <v>105</v>
      </c>
      <c r="C66" s="2" t="s">
        <v>8</v>
      </c>
      <c r="D66" s="2" t="s">
        <v>167</v>
      </c>
      <c r="E66" s="2" t="s">
        <v>166</v>
      </c>
      <c r="F66" s="2" t="s">
        <v>165</v>
      </c>
      <c r="G66" s="2" t="s">
        <v>164</v>
      </c>
      <c r="H66" s="2">
        <v>2</v>
      </c>
      <c r="I66" s="2" t="s">
        <v>163</v>
      </c>
      <c r="J66" s="2">
        <v>877.58358999999996</v>
      </c>
      <c r="K66" s="2">
        <v>877.58360000000005</v>
      </c>
      <c r="L66" s="2">
        <v>876.57521659999998</v>
      </c>
      <c r="M66" s="2">
        <v>4.01</v>
      </c>
      <c r="N66" s="2">
        <v>4.01</v>
      </c>
      <c r="O66" s="2">
        <v>0.83768539795278874</v>
      </c>
      <c r="P66" s="5" t="s">
        <v>157</v>
      </c>
      <c r="Q66" s="2">
        <v>4.7869999999999999</v>
      </c>
      <c r="R66" s="2">
        <v>1</v>
      </c>
      <c r="S66" s="2" t="s">
        <v>2</v>
      </c>
      <c r="T66" s="2" t="s">
        <v>1</v>
      </c>
      <c r="AC66" s="2">
        <f t="shared" si="17"/>
        <v>9.4145196200888986E-2</v>
      </c>
      <c r="AD66" s="2">
        <f t="shared" si="22"/>
        <v>0.12416111580979727</v>
      </c>
      <c r="AE66" s="2">
        <f t="shared" si="22"/>
        <v>9.1215704562421868E-2</v>
      </c>
      <c r="AF66" s="2">
        <f t="shared" si="22"/>
        <v>0.10474308405463632</v>
      </c>
      <c r="AG66" s="2">
        <f t="shared" si="22"/>
        <v>9.723383337915463E-2</v>
      </c>
      <c r="AH66" s="2">
        <f t="shared" si="22"/>
        <v>0.11900504603339326</v>
      </c>
      <c r="AI66" s="2">
        <f t="shared" si="22"/>
        <v>0.11982438906924445</v>
      </c>
      <c r="AJ66" s="2">
        <f t="shared" si="22"/>
        <v>0.11621613216111509</v>
      </c>
      <c r="AK66" s="2">
        <f t="shared" si="22"/>
        <v>0.13625147634100826</v>
      </c>
      <c r="AL66" s="2">
        <f t="shared" si="22"/>
        <v>9.9107856012604037E-2</v>
      </c>
      <c r="AM66" s="2">
        <f t="shared" si="22"/>
        <v>0.16682356914036686</v>
      </c>
      <c r="AN66" s="2">
        <f t="shared" si="22"/>
        <v>8.0171274357003261E-2</v>
      </c>
      <c r="AO66" s="2">
        <f t="shared" si="22"/>
        <v>0.10939903108179674</v>
      </c>
      <c r="AP66" s="2">
        <f t="shared" si="22"/>
        <v>0.11891636245517465</v>
      </c>
      <c r="AQ66" s="2">
        <f t="shared" si="22"/>
        <v>0.10627429725531476</v>
      </c>
      <c r="AR66" s="2">
        <f t="shared" si="22"/>
        <v>0.16147178343845309</v>
      </c>
      <c r="AS66" s="2">
        <f t="shared" si="22"/>
        <v>0.20730772774313677</v>
      </c>
      <c r="AT66" s="2">
        <f t="shared" si="22"/>
        <v>0.10876106366048949</v>
      </c>
      <c r="AU66" s="2">
        <f t="shared" si="22"/>
        <v>0.1828905156591461</v>
      </c>
      <c r="AV66" s="2">
        <f t="shared" si="22"/>
        <v>0.12382281874218329</v>
      </c>
      <c r="AW66" s="2">
        <f t="shared" si="22"/>
        <v>0.12381157765575468</v>
      </c>
      <c r="AX66" s="2">
        <f t="shared" si="22"/>
        <v>0.14060300823043412</v>
      </c>
      <c r="AY66" s="2">
        <f t="shared" si="22"/>
        <v>0.14632842240241137</v>
      </c>
      <c r="AZ66" s="2">
        <f t="shared" si="22"/>
        <v>0.124646373936333</v>
      </c>
      <c r="BA66" s="2">
        <f t="shared" si="22"/>
        <v>0.16841653880986818</v>
      </c>
      <c r="BB66" s="2">
        <f t="shared" si="22"/>
        <v>0.15861605053013011</v>
      </c>
      <c r="BC66" s="2">
        <f t="shared" si="22"/>
        <v>0.16286164559494148</v>
      </c>
      <c r="BD66" s="2">
        <f t="shared" si="22"/>
        <v>0.22055941882896449</v>
      </c>
      <c r="BE66" s="2">
        <f t="shared" si="22"/>
        <v>0.19157164365597959</v>
      </c>
      <c r="BF66" s="2">
        <f t="shared" si="22"/>
        <v>0.15013620312961815</v>
      </c>
      <c r="BG66" s="2">
        <f t="shared" si="22"/>
        <v>0.14467740107761834</v>
      </c>
      <c r="BH66" s="2">
        <f t="shared" si="22"/>
        <v>0.16635917069547618</v>
      </c>
      <c r="BI66" s="2">
        <f t="shared" si="22"/>
        <v>0.12279416951111832</v>
      </c>
      <c r="BJ66" s="2">
        <f t="shared" si="22"/>
        <v>0.14417158980283487</v>
      </c>
      <c r="BK66" s="2">
        <f t="shared" si="22"/>
        <v>0.1378023454683619</v>
      </c>
      <c r="BL66" s="2">
        <f t="shared" si="22"/>
        <v>0.15157870847492094</v>
      </c>
      <c r="BM66" s="2">
        <f t="shared" si="22"/>
        <v>0.15508140386338926</v>
      </c>
      <c r="BN66" s="2">
        <f t="shared" si="22"/>
        <v>0.12592540707109787</v>
      </c>
      <c r="BO66" s="2">
        <f t="shared" si="22"/>
        <v>0.13061332892443034</v>
      </c>
      <c r="BP66" s="2">
        <f t="shared" si="22"/>
        <v>0.20714948018073237</v>
      </c>
      <c r="BQ66" s="2">
        <f t="shared" si="22"/>
        <v>0.2367551247275288</v>
      </c>
      <c r="BR66" s="2">
        <f t="shared" si="22"/>
        <v>0.19974179385280705</v>
      </c>
      <c r="BS66" s="2">
        <f t="shared" si="22"/>
        <v>0.19817541858830284</v>
      </c>
      <c r="BT66" s="2">
        <f t="shared" si="22"/>
        <v>0.14363433235924836</v>
      </c>
      <c r="BU66" s="2">
        <f t="shared" si="22"/>
        <v>0.2240280269824097</v>
      </c>
      <c r="BV66" s="2">
        <f t="shared" si="22"/>
        <v>0.18266566577617221</v>
      </c>
      <c r="BW66" s="2">
        <f t="shared" si="22"/>
        <v>0.1695129565817742</v>
      </c>
      <c r="BX66" s="2">
        <f t="shared" si="22"/>
        <v>0.13520508202091835</v>
      </c>
      <c r="BY66" s="2">
        <f t="shared" si="22"/>
        <v>0.12095082856526591</v>
      </c>
      <c r="BZ66" s="2">
        <f t="shared" si="22"/>
        <v>0.22458682650042316</v>
      </c>
      <c r="CE66" s="3"/>
      <c r="CF66" s="3"/>
      <c r="CG66" s="3"/>
      <c r="CH66" s="3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1"/>
    </row>
    <row r="67" spans="1:104" x14ac:dyDescent="0.2">
      <c r="A67">
        <v>7287</v>
      </c>
      <c r="B67" s="2">
        <v>104</v>
      </c>
      <c r="C67" s="2" t="s">
        <v>8</v>
      </c>
      <c r="D67" s="2" t="s">
        <v>162</v>
      </c>
      <c r="E67" s="2" t="s">
        <v>161</v>
      </c>
      <c r="F67" s="2" t="s">
        <v>160</v>
      </c>
      <c r="G67" s="2" t="s">
        <v>159</v>
      </c>
      <c r="H67" s="2">
        <v>2</v>
      </c>
      <c r="I67" s="2" t="s">
        <v>158</v>
      </c>
      <c r="J67" s="2">
        <v>875.56872999999996</v>
      </c>
      <c r="K67" s="2">
        <v>875.56870000000004</v>
      </c>
      <c r="L67" s="2">
        <v>874.56035659999998</v>
      </c>
      <c r="M67" s="2">
        <v>3.8149999999999999</v>
      </c>
      <c r="N67" s="2">
        <v>3.82</v>
      </c>
      <c r="O67" s="2">
        <v>0.79799456862335494</v>
      </c>
      <c r="P67" s="5" t="s">
        <v>157</v>
      </c>
      <c r="Q67" s="2">
        <v>4.7869999999999999</v>
      </c>
      <c r="R67" s="2">
        <v>1</v>
      </c>
      <c r="S67" s="2" t="s">
        <v>2</v>
      </c>
      <c r="T67" s="2" t="s">
        <v>1</v>
      </c>
      <c r="AC67" s="2">
        <f t="shared" si="17"/>
        <v>0.58997336520980592</v>
      </c>
      <c r="AD67" s="2">
        <f t="shared" si="22"/>
        <v>0.69065643901843987</v>
      </c>
      <c r="AE67" s="2">
        <f t="shared" si="22"/>
        <v>0.55061232493408485</v>
      </c>
      <c r="AF67" s="2">
        <f t="shared" si="22"/>
        <v>0.62372563393124336</v>
      </c>
      <c r="AG67" s="2">
        <f t="shared" si="22"/>
        <v>0.59042210031467091</v>
      </c>
      <c r="AH67" s="2">
        <f t="shared" si="22"/>
        <v>0.69230696624070642</v>
      </c>
      <c r="AI67" s="2">
        <f t="shared" si="22"/>
        <v>0.6180346961931249</v>
      </c>
      <c r="AJ67" s="2">
        <f t="shared" si="22"/>
        <v>0.80041158434899939</v>
      </c>
      <c r="AK67" s="2">
        <f t="shared" si="22"/>
        <v>0.88053071249116122</v>
      </c>
      <c r="AL67" s="2">
        <f t="shared" si="22"/>
        <v>0.61425594774103009</v>
      </c>
      <c r="AM67" s="2">
        <f t="shared" si="22"/>
        <v>1.1213264103935019</v>
      </c>
      <c r="AN67" s="2">
        <f t="shared" si="22"/>
        <v>0.52468471422510488</v>
      </c>
      <c r="AO67" s="2">
        <f t="shared" si="22"/>
        <v>0.66639032318336955</v>
      </c>
      <c r="AP67" s="2">
        <f t="shared" si="22"/>
        <v>0.6785902696555004</v>
      </c>
      <c r="AQ67" s="2">
        <f t="shared" si="22"/>
        <v>0.75329296211433727</v>
      </c>
      <c r="AR67" s="2">
        <f t="shared" si="22"/>
        <v>0.9695250799238988</v>
      </c>
      <c r="AS67" s="2">
        <f t="shared" si="22"/>
        <v>1.1139993515316624</v>
      </c>
      <c r="AT67" s="2">
        <f t="shared" si="22"/>
        <v>0.62758435713743044</v>
      </c>
      <c r="AU67" s="2">
        <f t="shared" si="22"/>
        <v>0.92574191021720742</v>
      </c>
      <c r="AV67" s="2">
        <f t="shared" si="22"/>
        <v>0.71028787279339622</v>
      </c>
      <c r="AW67" s="2">
        <f t="shared" si="22"/>
        <v>0.69627984164955548</v>
      </c>
      <c r="AX67" s="2">
        <f t="shared" si="22"/>
        <v>0.84703938395103784</v>
      </c>
      <c r="AY67" s="2">
        <f t="shared" si="22"/>
        <v>0.66690541961365934</v>
      </c>
      <c r="AZ67" s="2">
        <f t="shared" si="22"/>
        <v>0.63737760864935999</v>
      </c>
      <c r="BA67" s="2">
        <f t="shared" si="22"/>
        <v>0.86221351363375753</v>
      </c>
      <c r="BB67" s="2">
        <f t="shared" si="22"/>
        <v>0.80937916085251449</v>
      </c>
      <c r="BC67" s="2">
        <f t="shared" si="22"/>
        <v>0.87314776739596045</v>
      </c>
      <c r="BD67" s="2">
        <f t="shared" ref="BD67:BZ67" si="23">(BD34/BD$2)*2.00695</f>
        <v>0.91985726460744044</v>
      </c>
      <c r="BE67" s="2">
        <f t="shared" si="23"/>
        <v>1.0685203294056986</v>
      </c>
      <c r="BF67" s="2">
        <f t="shared" si="23"/>
        <v>0.71342500315990365</v>
      </c>
      <c r="BG67" s="2">
        <f t="shared" si="23"/>
        <v>0.63715957374584153</v>
      </c>
      <c r="BH67" s="2">
        <f t="shared" si="23"/>
        <v>0.67271603377921108</v>
      </c>
      <c r="BI67" s="2">
        <f t="shared" si="23"/>
        <v>0.58820006297238581</v>
      </c>
      <c r="BJ67" s="2">
        <f t="shared" si="23"/>
        <v>0.71899167230966543</v>
      </c>
      <c r="BK67" s="2">
        <f t="shared" si="23"/>
        <v>0.56675226123750466</v>
      </c>
      <c r="BL67" s="2">
        <f t="shared" si="23"/>
        <v>0.73405233929332425</v>
      </c>
      <c r="BM67" s="2">
        <f t="shared" si="23"/>
        <v>0.75696662209271726</v>
      </c>
      <c r="BN67" s="2">
        <f t="shared" si="23"/>
        <v>0.58711131380351567</v>
      </c>
      <c r="BO67" s="2">
        <f t="shared" si="23"/>
        <v>0.66241353602557662</v>
      </c>
      <c r="BP67" s="2">
        <f t="shared" si="23"/>
        <v>0.93172176232755577</v>
      </c>
      <c r="BQ67" s="2">
        <f t="shared" si="23"/>
        <v>0.86666905314306264</v>
      </c>
      <c r="BR67" s="2">
        <f t="shared" si="23"/>
        <v>0.91913383793628656</v>
      </c>
      <c r="BS67" s="2">
        <f t="shared" si="23"/>
        <v>0.85855983326580076</v>
      </c>
      <c r="BT67" s="2">
        <f t="shared" si="23"/>
        <v>0.57665116860690402</v>
      </c>
      <c r="BU67" s="2">
        <f t="shared" si="23"/>
        <v>1.1018344904841151</v>
      </c>
      <c r="BV67" s="2">
        <f t="shared" si="23"/>
        <v>0.68042650265306026</v>
      </c>
      <c r="BW67" s="2">
        <f t="shared" si="23"/>
        <v>0.77651282831989366</v>
      </c>
      <c r="BX67" s="2">
        <f t="shared" si="23"/>
        <v>0.59319990821817692</v>
      </c>
      <c r="BY67" s="2">
        <f t="shared" si="23"/>
        <v>0.52216008071263897</v>
      </c>
      <c r="BZ67" s="2">
        <f t="shared" si="23"/>
        <v>0.99669830613480381</v>
      </c>
      <c r="CE67" s="3"/>
      <c r="CF67" s="3"/>
      <c r="CG67" s="3"/>
      <c r="CH67" s="3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1"/>
    </row>
    <row r="68" spans="1:10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  <c r="R68" s="2"/>
      <c r="S68" s="2"/>
      <c r="T68" s="2"/>
      <c r="AB68" t="s">
        <v>156</v>
      </c>
      <c r="AC68" s="2">
        <f t="shared" ref="AC68:BH68" si="24">SUM(AC36:AC67)</f>
        <v>93.286507146289352</v>
      </c>
      <c r="AD68" s="2">
        <f t="shared" si="24"/>
        <v>105.44381715282778</v>
      </c>
      <c r="AE68" s="2">
        <f t="shared" si="24"/>
        <v>93.855969577749249</v>
      </c>
      <c r="AF68" s="2">
        <f t="shared" si="24"/>
        <v>102.03613886751361</v>
      </c>
      <c r="AG68" s="2">
        <f t="shared" si="24"/>
        <v>95.654426925980104</v>
      </c>
      <c r="AH68" s="2">
        <f t="shared" si="24"/>
        <v>113.27375228800263</v>
      </c>
      <c r="AI68" s="2">
        <f t="shared" si="24"/>
        <v>108.59406268367015</v>
      </c>
      <c r="AJ68" s="2">
        <f t="shared" si="24"/>
        <v>115.63104197706463</v>
      </c>
      <c r="AK68" s="2">
        <f t="shared" si="24"/>
        <v>125.00767293865542</v>
      </c>
      <c r="AL68" s="2">
        <f t="shared" si="24"/>
        <v>102.14937814410089</v>
      </c>
      <c r="AM68" s="2">
        <f t="shared" si="24"/>
        <v>141.05866614495386</v>
      </c>
      <c r="AN68" s="2">
        <f t="shared" si="24"/>
        <v>78.783688492500488</v>
      </c>
      <c r="AO68" s="2">
        <f t="shared" si="24"/>
        <v>103.4929897358474</v>
      </c>
      <c r="AP68" s="2">
        <f t="shared" si="24"/>
        <v>109.7097317015575</v>
      </c>
      <c r="AQ68" s="2">
        <f t="shared" si="24"/>
        <v>106.66997162284643</v>
      </c>
      <c r="AR68" s="2">
        <f t="shared" si="24"/>
        <v>117.67425661440231</v>
      </c>
      <c r="AS68" s="2">
        <f t="shared" si="24"/>
        <v>142.55793007441039</v>
      </c>
      <c r="AT68" s="2">
        <f t="shared" si="24"/>
        <v>72.253308670779873</v>
      </c>
      <c r="AU68" s="2">
        <f t="shared" si="24"/>
        <v>117.99185093854734</v>
      </c>
      <c r="AV68" s="2">
        <f t="shared" si="24"/>
        <v>99.589079412039609</v>
      </c>
      <c r="AW68" s="2">
        <f t="shared" si="24"/>
        <v>117.46262740900954</v>
      </c>
      <c r="AX68" s="2">
        <f t="shared" si="24"/>
        <v>125.30828821442387</v>
      </c>
      <c r="AY68" s="2">
        <f t="shared" si="24"/>
        <v>113.99501909742465</v>
      </c>
      <c r="AZ68" s="2">
        <f t="shared" si="24"/>
        <v>107.17828167053825</v>
      </c>
      <c r="BA68" s="2">
        <f t="shared" si="24"/>
        <v>118.91547243738746</v>
      </c>
      <c r="BB68" s="2">
        <f t="shared" si="24"/>
        <v>118.19229022546116</v>
      </c>
      <c r="BC68" s="2">
        <f t="shared" si="24"/>
        <v>121.54409363222426</v>
      </c>
      <c r="BD68" s="2">
        <f t="shared" si="24"/>
        <v>142.91516146945224</v>
      </c>
      <c r="BE68" s="2">
        <f t="shared" si="24"/>
        <v>144.58890914926607</v>
      </c>
      <c r="BF68" s="2">
        <f t="shared" si="24"/>
        <v>101.84646959074441</v>
      </c>
      <c r="BG68" s="2">
        <f t="shared" si="24"/>
        <v>93.955318672296585</v>
      </c>
      <c r="BH68" s="2">
        <f t="shared" si="24"/>
        <v>104.84518426355173</v>
      </c>
      <c r="BI68" s="2">
        <f t="shared" ref="BI68:BZ68" si="25">SUM(BI36:BI67)</f>
        <v>95.402527357379512</v>
      </c>
      <c r="BJ68" s="2">
        <f t="shared" si="25"/>
        <v>98.180274639771994</v>
      </c>
      <c r="BK68" s="2">
        <f t="shared" si="25"/>
        <v>89.882295524945448</v>
      </c>
      <c r="BL68" s="2">
        <f t="shared" si="25"/>
        <v>110.72158840251535</v>
      </c>
      <c r="BM68" s="2">
        <f t="shared" si="25"/>
        <v>105.04558016904492</v>
      </c>
      <c r="BN68" s="2">
        <f t="shared" si="25"/>
        <v>85.32504676568054</v>
      </c>
      <c r="BO68" s="2">
        <f t="shared" si="25"/>
        <v>94.745773796712328</v>
      </c>
      <c r="BP68" s="2">
        <f t="shared" si="25"/>
        <v>133.01421537234651</v>
      </c>
      <c r="BQ68" s="2">
        <f t="shared" si="25"/>
        <v>143.28081781851824</v>
      </c>
      <c r="BR68" s="2">
        <f t="shared" si="25"/>
        <v>116.18441924601512</v>
      </c>
      <c r="BS68" s="2">
        <f t="shared" si="25"/>
        <v>108.70694423304521</v>
      </c>
      <c r="BT68" s="2">
        <f t="shared" si="25"/>
        <v>97.970925995336231</v>
      </c>
      <c r="BU68" s="2">
        <f t="shared" si="25"/>
        <v>144.45331137409786</v>
      </c>
      <c r="BV68" s="2">
        <f t="shared" si="25"/>
        <v>115.41350094906741</v>
      </c>
      <c r="BW68" s="2">
        <f t="shared" si="25"/>
        <v>117.73489228310315</v>
      </c>
      <c r="BX68" s="2">
        <f t="shared" si="25"/>
        <v>102.17952101062421</v>
      </c>
      <c r="BY68" s="2">
        <f t="shared" si="25"/>
        <v>92.77432501751322</v>
      </c>
      <c r="BZ68" s="2">
        <f t="shared" si="25"/>
        <v>146.31498312270074</v>
      </c>
      <c r="CE68" s="3"/>
      <c r="CF68" s="3"/>
      <c r="CG68" s="3"/>
      <c r="CH68" s="3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1"/>
    </row>
    <row r="69" spans="1:104" x14ac:dyDescent="0.2">
      <c r="A69" s="13"/>
      <c r="B69" s="1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2"/>
      <c r="R69" s="2"/>
      <c r="S69" s="2"/>
      <c r="T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E69" s="3"/>
      <c r="CF69" s="3"/>
      <c r="CG69" s="3"/>
      <c r="CH69" s="3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1"/>
    </row>
    <row r="70" spans="1:104" x14ac:dyDescent="0.2">
      <c r="A70" s="12"/>
      <c r="B70" s="1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  <c r="R70" s="2"/>
      <c r="S70" s="2"/>
      <c r="T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E70" s="3"/>
      <c r="CF70" s="3"/>
      <c r="CG70" s="3"/>
      <c r="CH70" s="3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1"/>
    </row>
    <row r="71" spans="1:104" x14ac:dyDescent="0.2">
      <c r="A71" s="12"/>
      <c r="B71" s="1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Q71" s="2"/>
      <c r="R71" s="2"/>
      <c r="S71" s="2"/>
      <c r="T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E71" s="3"/>
      <c r="CF71" s="3"/>
      <c r="CG71" s="3"/>
      <c r="CH71" s="3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1"/>
    </row>
    <row r="72" spans="1:104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  <c r="R72" s="2"/>
      <c r="S72" s="2"/>
      <c r="T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E72" s="3"/>
      <c r="CF72" s="3"/>
      <c r="CG72" s="3"/>
      <c r="CH72" s="3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1"/>
    </row>
    <row r="73" spans="1:104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Q73" s="2"/>
      <c r="R73" s="2"/>
      <c r="S73" s="2"/>
      <c r="T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E73" s="3"/>
      <c r="CF73" s="3"/>
      <c r="CG73" s="3"/>
      <c r="CH73" s="3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1"/>
    </row>
    <row r="74" spans="1:104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Q74" s="2"/>
      <c r="R74" s="2"/>
      <c r="S74" s="2"/>
      <c r="T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E74" s="3"/>
      <c r="CF74" s="3"/>
      <c r="CG74" s="3"/>
      <c r="CH74" s="3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1"/>
    </row>
    <row r="75" spans="1:104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  <c r="R75" s="2"/>
      <c r="S75" s="2"/>
      <c r="T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E75" s="3"/>
      <c r="CF75" s="3"/>
      <c r="CG75" s="3"/>
      <c r="CH75" s="3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1"/>
    </row>
    <row r="76" spans="1:10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Q76" s="2"/>
      <c r="R76" s="2"/>
      <c r="S76" s="2"/>
      <c r="T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E76" s="3"/>
      <c r="CF76" s="3"/>
      <c r="CG76" s="3"/>
      <c r="CH76" s="3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1"/>
    </row>
    <row r="77" spans="1:10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  <c r="R77" s="2"/>
      <c r="S77" s="2"/>
      <c r="T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E77" s="3"/>
      <c r="CF77" s="3"/>
      <c r="CG77" s="3"/>
      <c r="CH77" s="3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1"/>
    </row>
    <row r="78" spans="1:104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  <c r="R78" s="2"/>
      <c r="S78" s="2"/>
      <c r="T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E78" s="3"/>
      <c r="CF78" s="3"/>
      <c r="CG78" s="3"/>
      <c r="CH78" s="3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1"/>
    </row>
    <row r="79" spans="1:104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2"/>
      <c r="R79" s="2"/>
      <c r="S79" s="2"/>
      <c r="T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E79" s="3"/>
      <c r="CF79" s="3"/>
      <c r="CG79" s="3"/>
      <c r="CH79" s="3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1"/>
    </row>
    <row r="80" spans="1:104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2"/>
      <c r="R80" s="2"/>
      <c r="S80" s="2"/>
      <c r="T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E80" s="3"/>
      <c r="CF80" s="3"/>
      <c r="CG80" s="3"/>
      <c r="CH80" s="3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1"/>
    </row>
    <row r="81" spans="2:104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Q81" s="2"/>
      <c r="R81" s="2"/>
      <c r="S81" s="2"/>
      <c r="T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E81" s="3"/>
      <c r="CF81" s="3"/>
      <c r="CG81" s="3"/>
      <c r="CH81" s="3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1"/>
    </row>
    <row r="82" spans="2:104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Q82" s="2"/>
      <c r="R82" s="2"/>
      <c r="S82" s="2"/>
      <c r="T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E82" s="3"/>
      <c r="CF82" s="3"/>
      <c r="CG82" s="3"/>
      <c r="CH82" s="3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1"/>
    </row>
    <row r="83" spans="2:104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Q83" s="2"/>
      <c r="R83" s="2"/>
      <c r="S83" s="2"/>
      <c r="T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E83" s="3"/>
      <c r="CF83" s="3"/>
      <c r="CG83" s="3"/>
      <c r="CH83" s="3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1"/>
    </row>
    <row r="84" spans="2:104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Q84" s="2"/>
      <c r="R84" s="2"/>
      <c r="S84" s="2"/>
      <c r="T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E84" s="3"/>
      <c r="CF84" s="3"/>
      <c r="CG84" s="3"/>
      <c r="CH84" s="3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1"/>
    </row>
    <row r="85" spans="2:104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Q85" s="2"/>
      <c r="R85" s="2"/>
      <c r="S85" s="2"/>
      <c r="T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E85" s="3"/>
      <c r="CF85" s="3"/>
      <c r="CG85" s="3"/>
      <c r="CH85" s="3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1"/>
    </row>
    <row r="86" spans="2:104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2"/>
      <c r="R86" s="2"/>
      <c r="S86" s="2"/>
      <c r="T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E86" s="3"/>
      <c r="CF86" s="3"/>
      <c r="CG86" s="3"/>
      <c r="CH86" s="3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1"/>
    </row>
    <row r="87" spans="2:104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Q87" s="2"/>
      <c r="R87" s="2"/>
      <c r="S87" s="2"/>
      <c r="T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E87" s="3"/>
      <c r="CF87" s="3"/>
      <c r="CG87" s="3"/>
      <c r="CH87" s="3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1"/>
    </row>
    <row r="88" spans="2:104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Q88" s="2"/>
      <c r="R88" s="2"/>
      <c r="S88" s="2"/>
      <c r="T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E88" s="3"/>
      <c r="CF88" s="3"/>
      <c r="CG88" s="3"/>
      <c r="CH88" s="3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1"/>
    </row>
    <row r="89" spans="2:104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Q89" s="2"/>
      <c r="R89" s="2"/>
      <c r="S89" s="2"/>
      <c r="T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E89" s="3"/>
      <c r="CF89" s="3"/>
      <c r="CG89" s="3"/>
      <c r="CH89" s="3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1"/>
    </row>
    <row r="90" spans="2:104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Q90" s="2"/>
      <c r="R90" s="2"/>
      <c r="S90" s="2"/>
      <c r="T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E90" s="3"/>
      <c r="CF90" s="3"/>
      <c r="CG90" s="3"/>
      <c r="CH90" s="3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1"/>
    </row>
    <row r="91" spans="2:104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Q91" s="2"/>
      <c r="R91" s="2"/>
      <c r="S91" s="2"/>
      <c r="T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E91" s="3"/>
      <c r="CF91" s="3"/>
      <c r="CG91" s="3"/>
      <c r="CH91" s="3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1"/>
    </row>
    <row r="92" spans="2:104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Q92" s="2"/>
      <c r="R92" s="2"/>
      <c r="S92" s="2"/>
      <c r="T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E92" s="3"/>
      <c r="CF92" s="3"/>
      <c r="CG92" s="3"/>
      <c r="CH92" s="3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1"/>
    </row>
    <row r="93" spans="2:104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Q93" s="2"/>
      <c r="R93" s="2"/>
      <c r="S93" s="2"/>
      <c r="T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E93" s="3"/>
      <c r="CF93" s="3"/>
      <c r="CG93" s="3"/>
      <c r="CH93" s="3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1"/>
    </row>
    <row r="94" spans="2:104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Q94" s="2"/>
      <c r="R94" s="2"/>
      <c r="S94" s="2"/>
      <c r="T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E94" s="3"/>
      <c r="CF94" s="3"/>
      <c r="CG94" s="3"/>
      <c r="CH94" s="3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1"/>
    </row>
    <row r="95" spans="2:104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2"/>
      <c r="R95" s="2"/>
      <c r="S95" s="2"/>
      <c r="T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E95" s="3"/>
      <c r="CF95" s="3"/>
      <c r="CG95" s="3"/>
      <c r="CH95" s="3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1"/>
    </row>
    <row r="96" spans="2:104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Q96" s="2"/>
      <c r="R96" s="2"/>
      <c r="S96" s="2"/>
      <c r="T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E96" s="3"/>
      <c r="CF96" s="3"/>
      <c r="CG96" s="3"/>
      <c r="CH96" s="3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1"/>
    </row>
    <row r="97" spans="2:104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Q97" s="2"/>
      <c r="R97" s="2"/>
      <c r="S97" s="2"/>
      <c r="T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E97" s="3"/>
      <c r="CF97" s="3"/>
      <c r="CG97" s="3"/>
      <c r="CH97" s="3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1"/>
    </row>
    <row r="98" spans="2:104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Q98" s="2"/>
      <c r="R98" s="2"/>
      <c r="S98" s="2"/>
      <c r="T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E98" s="3"/>
      <c r="CF98" s="3"/>
      <c r="CG98" s="3"/>
      <c r="CH98" s="3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1"/>
    </row>
    <row r="99" spans="2:104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Q99" s="2"/>
      <c r="R99" s="2"/>
      <c r="S99" s="2"/>
      <c r="T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E99" s="3"/>
      <c r="CF99" s="3"/>
      <c r="CG99" s="3"/>
      <c r="CH99" s="3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1"/>
    </row>
    <row r="100" spans="2:104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Q100" s="2"/>
      <c r="R100" s="2"/>
      <c r="S100" s="2"/>
      <c r="T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E100" s="3"/>
      <c r="CF100" s="3"/>
      <c r="CG100" s="3"/>
      <c r="CH100" s="3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1"/>
    </row>
    <row r="101" spans="2:104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Q101" s="2"/>
      <c r="R101" s="2"/>
      <c r="S101" s="2"/>
      <c r="T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E101" s="3"/>
      <c r="CF101" s="3"/>
      <c r="CG101" s="3"/>
      <c r="CH101" s="3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1"/>
    </row>
    <row r="102" spans="2:104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Q102" s="2"/>
      <c r="R102" s="2"/>
      <c r="S102" s="2"/>
      <c r="T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E102" s="3"/>
      <c r="CF102" s="3"/>
      <c r="CG102" s="3"/>
      <c r="CH102" s="3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1"/>
    </row>
    <row r="103" spans="2:104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Q103" s="2"/>
      <c r="R103" s="2"/>
      <c r="S103" s="2"/>
      <c r="T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E103" s="3"/>
      <c r="CF103" s="3"/>
      <c r="CG103" s="3"/>
      <c r="CH103" s="3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1"/>
    </row>
    <row r="104" spans="2:104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Q104" s="2"/>
      <c r="R104" s="2"/>
      <c r="S104" s="2"/>
      <c r="T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E104" s="3"/>
      <c r="CF104" s="3"/>
      <c r="CG104" s="3"/>
      <c r="CH104" s="3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1"/>
    </row>
    <row r="105" spans="2:104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Q105" s="2"/>
      <c r="R105" s="2"/>
      <c r="S105" s="2"/>
      <c r="T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E105" s="3"/>
      <c r="CF105" s="3"/>
      <c r="CG105" s="3"/>
      <c r="CH105" s="3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1"/>
    </row>
    <row r="106" spans="2:104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Q106" s="2"/>
      <c r="R106" s="2"/>
      <c r="S106" s="2"/>
      <c r="T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E106" s="3"/>
      <c r="CF106" s="3"/>
      <c r="CG106" s="3"/>
      <c r="CH106" s="3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1"/>
    </row>
    <row r="107" spans="2:104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Q107" s="2"/>
      <c r="R107" s="2"/>
      <c r="S107" s="2"/>
      <c r="T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E107" s="3"/>
      <c r="CF107" s="3"/>
      <c r="CG107" s="3"/>
      <c r="CH107" s="3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1"/>
    </row>
    <row r="108" spans="2:104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Q108" s="2"/>
      <c r="R108" s="2"/>
      <c r="S108" s="2"/>
      <c r="T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E108" s="3"/>
      <c r="CF108" s="3"/>
      <c r="CG108" s="3"/>
      <c r="CH108" s="3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1"/>
    </row>
    <row r="109" spans="2:104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Q109" s="2"/>
      <c r="R109" s="2"/>
      <c r="S109" s="2"/>
      <c r="T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E109" s="3"/>
      <c r="CF109" s="3"/>
      <c r="CG109" s="3"/>
      <c r="CH109" s="3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1"/>
    </row>
    <row r="110" spans="2:104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Q110" s="2"/>
      <c r="R110" s="2"/>
      <c r="S110" s="2"/>
      <c r="T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E110" s="3"/>
      <c r="CF110" s="3"/>
      <c r="CG110" s="3"/>
      <c r="CH110" s="3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1"/>
    </row>
    <row r="111" spans="2:104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Q111" s="2"/>
      <c r="R111" s="2"/>
      <c r="S111" s="2"/>
      <c r="T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E111" s="3"/>
      <c r="CF111" s="3"/>
      <c r="CG111" s="3"/>
      <c r="CH111" s="3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1"/>
    </row>
    <row r="112" spans="2:104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Q112" s="2"/>
      <c r="R112" s="2"/>
      <c r="S112" s="2"/>
      <c r="T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E112" s="3"/>
      <c r="CF112" s="3"/>
      <c r="CG112" s="3"/>
      <c r="CH112" s="3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1"/>
    </row>
    <row r="113" spans="2:104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Q113" s="2"/>
      <c r="R113" s="2"/>
      <c r="S113" s="2"/>
      <c r="T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E113" s="3"/>
      <c r="CF113" s="3"/>
      <c r="CG113" s="3"/>
      <c r="CH113" s="3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1"/>
    </row>
    <row r="114" spans="2:104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Q114" s="2"/>
      <c r="R114" s="2"/>
      <c r="S114" s="2"/>
      <c r="T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E114" s="3"/>
      <c r="CF114" s="3"/>
      <c r="CG114" s="3"/>
      <c r="CH114" s="3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1"/>
    </row>
    <row r="115" spans="2:104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  <c r="R115" s="2"/>
      <c r="S115" s="2"/>
      <c r="T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E115" s="3"/>
      <c r="CF115" s="3"/>
      <c r="CG115" s="3"/>
      <c r="CH115" s="3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1"/>
    </row>
    <row r="116" spans="2:104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Q116" s="2"/>
      <c r="R116" s="2"/>
      <c r="S116" s="2"/>
      <c r="T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E116" s="3"/>
      <c r="CF116" s="3"/>
      <c r="CG116" s="3"/>
      <c r="CH116" s="3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1"/>
    </row>
    <row r="117" spans="2:104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Q117" s="2"/>
      <c r="R117" s="2"/>
      <c r="S117" s="2"/>
      <c r="T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E117" s="3"/>
      <c r="CF117" s="3"/>
      <c r="CG117" s="3"/>
      <c r="CH117" s="3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1"/>
    </row>
    <row r="118" spans="2:104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Q118" s="2"/>
      <c r="R118" s="2"/>
      <c r="S118" s="2"/>
      <c r="T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E118" s="3"/>
      <c r="CF118" s="3"/>
      <c r="CG118" s="3"/>
      <c r="CH118" s="3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1"/>
    </row>
    <row r="119" spans="2:104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Q119" s="2"/>
      <c r="R119" s="2"/>
      <c r="S119" s="2"/>
      <c r="T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E119" s="3"/>
      <c r="CF119" s="3"/>
      <c r="CG119" s="3"/>
      <c r="CH119" s="3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1"/>
    </row>
    <row r="120" spans="2:104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Q120" s="2"/>
      <c r="R120" s="2"/>
      <c r="S120" s="2"/>
      <c r="T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E120" s="3"/>
      <c r="CF120" s="3"/>
      <c r="CG120" s="3"/>
      <c r="CH120" s="3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1"/>
    </row>
    <row r="121" spans="2:104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Q121" s="2"/>
      <c r="R121" s="2"/>
      <c r="S121" s="2"/>
      <c r="T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E121" s="3"/>
      <c r="CF121" s="3"/>
      <c r="CG121" s="3"/>
      <c r="CH121" s="3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1"/>
    </row>
    <row r="122" spans="2:104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Q122" s="2"/>
      <c r="R122" s="2"/>
      <c r="S122" s="2"/>
      <c r="T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E122" s="3"/>
      <c r="CF122" s="3"/>
      <c r="CG122" s="3"/>
      <c r="CH122" s="3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1"/>
    </row>
    <row r="123" spans="2:104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Q123" s="2"/>
      <c r="R123" s="2"/>
      <c r="S123" s="2"/>
      <c r="T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E123" s="3"/>
      <c r="CF123" s="3"/>
      <c r="CG123" s="3"/>
      <c r="CH123" s="3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1"/>
    </row>
    <row r="124" spans="2:104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2"/>
      <c r="R124" s="2"/>
      <c r="S124" s="2"/>
      <c r="T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E124" s="3"/>
      <c r="CF124" s="3"/>
      <c r="CG124" s="3"/>
      <c r="CH124" s="3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1"/>
    </row>
    <row r="125" spans="2:104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Q125" s="2"/>
      <c r="R125" s="2"/>
      <c r="S125" s="2"/>
      <c r="T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E125" s="3"/>
      <c r="CF125" s="3"/>
      <c r="CG125" s="3"/>
      <c r="CH125" s="3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1"/>
    </row>
    <row r="126" spans="2:104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Q126" s="2"/>
      <c r="R126" s="2"/>
      <c r="S126" s="2"/>
      <c r="T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E126" s="3"/>
      <c r="CF126" s="3"/>
      <c r="CG126" s="3"/>
      <c r="CH126" s="3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1"/>
    </row>
    <row r="127" spans="2:104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Q127" s="2"/>
      <c r="R127" s="2"/>
      <c r="S127" s="2"/>
      <c r="T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E127" s="3"/>
      <c r="CF127" s="3"/>
      <c r="CG127" s="3"/>
      <c r="CH127" s="3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1"/>
    </row>
    <row r="128" spans="2:104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Q128" s="2"/>
      <c r="R128" s="2"/>
      <c r="S128" s="2"/>
      <c r="T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E128" s="3"/>
      <c r="CF128" s="3"/>
      <c r="CG128" s="3"/>
      <c r="CH128" s="3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1"/>
    </row>
    <row r="129" spans="2:104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Q129" s="2"/>
      <c r="R129" s="2"/>
      <c r="S129" s="2"/>
      <c r="T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E129" s="3"/>
      <c r="CF129" s="3"/>
      <c r="CG129" s="3"/>
      <c r="CH129" s="3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1"/>
    </row>
    <row r="130" spans="2:104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Q130" s="2"/>
      <c r="R130" s="2"/>
      <c r="S130" s="2"/>
      <c r="T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E130" s="3"/>
      <c r="CF130" s="3"/>
      <c r="CG130" s="3"/>
      <c r="CH130" s="3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1"/>
    </row>
    <row r="131" spans="2:104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Q131" s="2"/>
      <c r="R131" s="2"/>
      <c r="S131" s="2"/>
      <c r="T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E131" s="3"/>
      <c r="CF131" s="3"/>
      <c r="CG131" s="3"/>
      <c r="CH131" s="3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1"/>
    </row>
    <row r="132" spans="2:104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Q132" s="2"/>
      <c r="R132" s="2"/>
      <c r="S132" s="2"/>
      <c r="T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E132" s="3"/>
      <c r="CF132" s="3"/>
      <c r="CG132" s="3"/>
      <c r="CH132" s="3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1"/>
    </row>
  </sheetData>
  <conditionalFormatting sqref="D1">
    <cfRule type="duplicateValues" dxfId="10" priority="11"/>
    <cfRule type="duplicateValues" dxfId="9" priority="12"/>
  </conditionalFormatting>
  <conditionalFormatting sqref="D2">
    <cfRule type="duplicateValues" dxfId="8" priority="6"/>
  </conditionalFormatting>
  <conditionalFormatting sqref="D3:D132">
    <cfRule type="duplicateValues" dxfId="7" priority="18"/>
  </conditionalFormatting>
  <conditionalFormatting sqref="E1">
    <cfRule type="duplicateValues" dxfId="6" priority="9"/>
    <cfRule type="duplicateValues" dxfId="5" priority="10"/>
  </conditionalFormatting>
  <conditionalFormatting sqref="E2">
    <cfRule type="duplicateValues" dxfId="4" priority="5"/>
  </conditionalFormatting>
  <conditionalFormatting sqref="E3:E16 E18:E49 E51:E132">
    <cfRule type="duplicateValues" dxfId="3" priority="17"/>
  </conditionalFormatting>
  <conditionalFormatting sqref="U2:X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3:X132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1:AB132">
    <cfRule type="cellIs" dxfId="2" priority="3" operator="lessThan">
      <formula>0.05</formula>
    </cfRule>
  </conditionalFormatting>
  <conditionalFormatting sqref="CA2:CD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3:CD132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E1:CH132">
    <cfRule type="cellIs" dxfId="1" priority="1" operator="lessThan"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B73F-CFF9-49C6-8E89-4B5BF02AA8E4}">
  <dimension ref="A1:AY16"/>
  <sheetViews>
    <sheetView tabSelected="1" workbookViewId="0">
      <selection activeCell="E26" sqref="E26"/>
    </sheetView>
  </sheetViews>
  <sheetFormatPr baseColWidth="10" defaultColWidth="8.83203125" defaultRowHeight="15" x14ac:dyDescent="0.2"/>
  <sheetData>
    <row r="1" spans="1:51" x14ac:dyDescent="0.2">
      <c r="B1" t="s">
        <v>127</v>
      </c>
      <c r="C1" t="s">
        <v>127</v>
      </c>
      <c r="D1" t="s">
        <v>127</v>
      </c>
      <c r="E1" t="s">
        <v>127</v>
      </c>
      <c r="F1" t="s">
        <v>127</v>
      </c>
      <c r="G1" t="s">
        <v>126</v>
      </c>
      <c r="H1" t="s">
        <v>126</v>
      </c>
      <c r="I1" t="s">
        <v>126</v>
      </c>
      <c r="J1" t="s">
        <v>126</v>
      </c>
      <c r="K1" t="s">
        <v>126</v>
      </c>
      <c r="L1" t="s">
        <v>125</v>
      </c>
      <c r="M1" t="s">
        <v>125</v>
      </c>
      <c r="N1" t="s">
        <v>125</v>
      </c>
      <c r="O1" t="s">
        <v>125</v>
      </c>
      <c r="P1" t="s">
        <v>125</v>
      </c>
      <c r="Q1" t="s">
        <v>124</v>
      </c>
      <c r="R1" t="s">
        <v>124</v>
      </c>
      <c r="S1" t="s">
        <v>124</v>
      </c>
      <c r="T1" t="s">
        <v>124</v>
      </c>
      <c r="U1" t="s">
        <v>124</v>
      </c>
      <c r="V1" t="s">
        <v>123</v>
      </c>
      <c r="W1" t="s">
        <v>123</v>
      </c>
      <c r="X1" t="s">
        <v>123</v>
      </c>
      <c r="Y1" t="s">
        <v>123</v>
      </c>
      <c r="Z1" t="s">
        <v>123</v>
      </c>
      <c r="AA1" t="s">
        <v>122</v>
      </c>
      <c r="AB1" t="s">
        <v>122</v>
      </c>
      <c r="AC1" t="s">
        <v>122</v>
      </c>
      <c r="AD1" t="s">
        <v>122</v>
      </c>
      <c r="AE1" t="s">
        <v>122</v>
      </c>
      <c r="AF1" t="s">
        <v>121</v>
      </c>
      <c r="AG1" t="s">
        <v>121</v>
      </c>
      <c r="AH1" t="s">
        <v>121</v>
      </c>
      <c r="AI1" t="s">
        <v>121</v>
      </c>
      <c r="AJ1" t="s">
        <v>121</v>
      </c>
      <c r="AK1" t="s">
        <v>120</v>
      </c>
      <c r="AL1" t="s">
        <v>120</v>
      </c>
      <c r="AM1" t="s">
        <v>120</v>
      </c>
      <c r="AN1" t="s">
        <v>120</v>
      </c>
      <c r="AO1" t="s">
        <v>120</v>
      </c>
      <c r="AP1" t="s">
        <v>119</v>
      </c>
      <c r="AQ1" t="s">
        <v>119</v>
      </c>
      <c r="AR1" t="s">
        <v>119</v>
      </c>
      <c r="AS1" t="s">
        <v>119</v>
      </c>
      <c r="AT1" t="s">
        <v>119</v>
      </c>
      <c r="AU1" t="s">
        <v>118</v>
      </c>
      <c r="AV1" t="s">
        <v>118</v>
      </c>
      <c r="AW1" t="s">
        <v>118</v>
      </c>
      <c r="AX1" t="s">
        <v>118</v>
      </c>
      <c r="AY1" t="s">
        <v>118</v>
      </c>
    </row>
    <row r="2" spans="1:51" x14ac:dyDescent="0.2">
      <c r="A2" t="s">
        <v>156</v>
      </c>
      <c r="B2" s="2">
        <v>93.286507146289352</v>
      </c>
      <c r="C2" s="2">
        <v>105.44381715282778</v>
      </c>
      <c r="D2" s="2">
        <v>93.855969577749249</v>
      </c>
      <c r="E2" s="2">
        <v>102.03613886751361</v>
      </c>
      <c r="F2" s="2">
        <v>95.654426925980104</v>
      </c>
      <c r="G2" s="2">
        <v>113.27375228800263</v>
      </c>
      <c r="H2" s="2">
        <v>108.59406268367015</v>
      </c>
      <c r="I2" s="2">
        <v>115.63104197706463</v>
      </c>
      <c r="J2" s="2">
        <v>125.00767293865542</v>
      </c>
      <c r="K2" s="2">
        <v>102.14937814410089</v>
      </c>
      <c r="L2" s="2">
        <v>141.05866614495386</v>
      </c>
      <c r="M2" s="2">
        <v>78.783688492500488</v>
      </c>
      <c r="N2" s="2">
        <v>103.4929897358474</v>
      </c>
      <c r="O2" s="2">
        <v>109.7097317015575</v>
      </c>
      <c r="P2" s="2">
        <v>106.66997162284643</v>
      </c>
      <c r="Q2" s="2">
        <v>117.67425661440231</v>
      </c>
      <c r="R2" s="2">
        <v>142.55793007441039</v>
      </c>
      <c r="S2" s="2">
        <v>72.253308670779873</v>
      </c>
      <c r="T2" s="2">
        <v>117.99185093854734</v>
      </c>
      <c r="U2" s="2">
        <v>99.589079412039609</v>
      </c>
      <c r="V2" s="2">
        <v>117.46262740900954</v>
      </c>
      <c r="W2" s="2">
        <v>125.30828821442387</v>
      </c>
      <c r="X2" s="2">
        <v>113.99501909742465</v>
      </c>
      <c r="Y2" s="2">
        <v>107.17828167053825</v>
      </c>
      <c r="Z2" s="2">
        <v>118.91547243738746</v>
      </c>
      <c r="AA2" s="2">
        <v>118.19229022546116</v>
      </c>
      <c r="AB2" s="2">
        <v>121.54409363222426</v>
      </c>
      <c r="AC2" s="2">
        <v>142.91516146945224</v>
      </c>
      <c r="AD2" s="2">
        <v>144.58890914926607</v>
      </c>
      <c r="AE2" s="2">
        <v>101.84646959074441</v>
      </c>
      <c r="AF2" s="2">
        <v>93.955318672296585</v>
      </c>
      <c r="AG2" s="2">
        <v>104.84518426355173</v>
      </c>
      <c r="AH2" s="2">
        <v>95.402527357379512</v>
      </c>
      <c r="AI2" s="2">
        <v>98.180274639771994</v>
      </c>
      <c r="AJ2" s="2">
        <v>89.882295524945448</v>
      </c>
      <c r="AK2" s="2">
        <v>110.72158840251535</v>
      </c>
      <c r="AL2" s="2">
        <v>105.04558016904492</v>
      </c>
      <c r="AM2" s="2">
        <v>85.32504676568054</v>
      </c>
      <c r="AN2" s="2">
        <v>94.745773796712328</v>
      </c>
      <c r="AO2" s="2">
        <v>133.01421537234651</v>
      </c>
      <c r="AP2" s="2">
        <v>143.28081781851824</v>
      </c>
      <c r="AQ2" s="2">
        <v>116.18441924601512</v>
      </c>
      <c r="AR2" s="2">
        <v>108.70694423304521</v>
      </c>
      <c r="AS2" s="2">
        <v>97.970925995336231</v>
      </c>
      <c r="AT2" s="2">
        <v>144.45331137409786</v>
      </c>
      <c r="AU2" s="2">
        <v>115.41350094906741</v>
      </c>
      <c r="AV2" s="2">
        <v>117.73489228310315</v>
      </c>
      <c r="AW2" s="2">
        <v>102.17952101062421</v>
      </c>
      <c r="AX2" s="2">
        <v>92.77432501751322</v>
      </c>
      <c r="AY2" s="2">
        <v>146.31498312270074</v>
      </c>
    </row>
    <row r="3" spans="1:51" x14ac:dyDescent="0.2">
      <c r="A3" t="s">
        <v>0</v>
      </c>
      <c r="B3" s="4">
        <v>17.394285436615259</v>
      </c>
      <c r="C3" s="4">
        <v>22.324828491089669</v>
      </c>
      <c r="D3" s="4">
        <v>18.872123609080575</v>
      </c>
      <c r="E3" s="4">
        <v>17.917025672072725</v>
      </c>
      <c r="F3" s="4">
        <v>16.817908268019931</v>
      </c>
      <c r="G3" s="4">
        <v>23.22576359719783</v>
      </c>
      <c r="H3" s="4">
        <v>18.475547764612042</v>
      </c>
      <c r="I3" s="4">
        <v>22.465571661187276</v>
      </c>
      <c r="J3" s="4">
        <v>23.226363758829855</v>
      </c>
      <c r="K3" s="4">
        <v>19.939541616647947</v>
      </c>
      <c r="L3" s="4">
        <v>29.405737394184406</v>
      </c>
      <c r="M3" s="4">
        <v>17.487264780036295</v>
      </c>
      <c r="N3" s="4">
        <v>20.545583177993528</v>
      </c>
      <c r="O3" s="4">
        <v>25.066893993471247</v>
      </c>
      <c r="P3" s="4">
        <v>23.195263080751857</v>
      </c>
      <c r="Q3" s="4">
        <v>30.58748714845191</v>
      </c>
      <c r="R3" s="4">
        <v>28.614601172174108</v>
      </c>
      <c r="S3" s="4">
        <v>17.156140058316772</v>
      </c>
      <c r="T3" s="4">
        <v>27.761957322021853</v>
      </c>
      <c r="U3" s="4">
        <v>21.652981846965048</v>
      </c>
      <c r="V3" s="4">
        <v>27.302389835566888</v>
      </c>
      <c r="W3" s="4">
        <v>21.02597466511385</v>
      </c>
      <c r="X3" s="4">
        <v>26.124368461919072</v>
      </c>
      <c r="Y3" s="4">
        <v>24.819973681421082</v>
      </c>
      <c r="Z3" s="4">
        <v>25.88273032239336</v>
      </c>
      <c r="AA3" s="4">
        <v>25.650155951984086</v>
      </c>
      <c r="AB3" s="4">
        <v>24.329840947130126</v>
      </c>
      <c r="AC3" s="4">
        <v>25.681043153932471</v>
      </c>
      <c r="AD3" s="4">
        <v>27.540836007551839</v>
      </c>
      <c r="AE3" s="4">
        <v>20.63172526089101</v>
      </c>
      <c r="AF3" s="4">
        <v>20.618397313953629</v>
      </c>
      <c r="AG3" s="4">
        <v>23.973407299570166</v>
      </c>
      <c r="AH3" s="4">
        <v>18.487740803509958</v>
      </c>
      <c r="AI3" s="4">
        <v>25.330304897004602</v>
      </c>
      <c r="AJ3" s="4">
        <v>19.50813582305922</v>
      </c>
      <c r="AK3" s="4">
        <v>23.024658209827514</v>
      </c>
      <c r="AL3" s="4">
        <v>22.073605868310153</v>
      </c>
      <c r="AM3" s="4">
        <v>20.897058894074942</v>
      </c>
      <c r="AN3" s="4">
        <v>20.975882906715778</v>
      </c>
      <c r="AO3" s="4">
        <v>27.917635959899417</v>
      </c>
      <c r="AP3" s="4">
        <v>28.489983818461955</v>
      </c>
      <c r="AQ3" s="4">
        <v>26.722405069281905</v>
      </c>
      <c r="AR3" s="4">
        <v>26.613499806964754</v>
      </c>
      <c r="AS3" s="4">
        <v>24.748154959108241</v>
      </c>
      <c r="AT3" s="4">
        <v>33.285694059325706</v>
      </c>
      <c r="AU3" s="4">
        <v>26.917548510336076</v>
      </c>
      <c r="AV3" s="4">
        <v>27.428282038909867</v>
      </c>
      <c r="AW3" s="4">
        <v>23.713789328837574</v>
      </c>
      <c r="AX3" s="4">
        <v>21.441059459425063</v>
      </c>
      <c r="AY3" s="4">
        <v>31.085335260665804</v>
      </c>
    </row>
    <row r="4" spans="1:51" x14ac:dyDescent="0.2">
      <c r="B4">
        <f>B2/B3</f>
        <v>5.3630548657043251</v>
      </c>
      <c r="C4">
        <f t="shared" ref="C4:AG4" si="0">C2/C3</f>
        <v>4.7231635931677021</v>
      </c>
      <c r="D4">
        <f t="shared" si="0"/>
        <v>4.9732595823285726</v>
      </c>
      <c r="E4">
        <f t="shared" si="0"/>
        <v>5.6949261967379652</v>
      </c>
      <c r="F4">
        <f t="shared" si="0"/>
        <v>5.6876530304230304</v>
      </c>
      <c r="G4">
        <f t="shared" si="0"/>
        <v>4.8770733334110492</v>
      </c>
      <c r="H4">
        <f t="shared" si="0"/>
        <v>5.8777181638787779</v>
      </c>
      <c r="I4">
        <f t="shared" si="0"/>
        <v>5.1470331456926601</v>
      </c>
      <c r="J4">
        <f t="shared" si="0"/>
        <v>5.3821456615709744</v>
      </c>
      <c r="K4">
        <f t="shared" si="0"/>
        <v>5.1229551866334884</v>
      </c>
      <c r="L4">
        <f t="shared" si="0"/>
        <v>4.7969776868391385</v>
      </c>
      <c r="M4">
        <f t="shared" si="0"/>
        <v>4.5052036143720455</v>
      </c>
      <c r="N4">
        <f t="shared" si="0"/>
        <v>5.0372378744011135</v>
      </c>
      <c r="O4">
        <f t="shared" si="0"/>
        <v>4.3766783284012671</v>
      </c>
      <c r="P4">
        <f t="shared" si="0"/>
        <v>4.5987825726091662</v>
      </c>
      <c r="Q4">
        <f t="shared" si="0"/>
        <v>3.8471371003210386</v>
      </c>
      <c r="R4">
        <f t="shared" si="0"/>
        <v>4.981999546897022</v>
      </c>
      <c r="S4">
        <f t="shared" si="0"/>
        <v>4.2115131040652516</v>
      </c>
      <c r="T4">
        <f t="shared" si="0"/>
        <v>4.2501272359838858</v>
      </c>
      <c r="U4">
        <f t="shared" si="0"/>
        <v>4.599324015320243</v>
      </c>
      <c r="V4">
        <f t="shared" si="0"/>
        <v>4.3022837237489995</v>
      </c>
      <c r="W4">
        <f t="shared" si="0"/>
        <v>5.9596898698034915</v>
      </c>
      <c r="X4">
        <f t="shared" si="0"/>
        <v>4.3635511902839959</v>
      </c>
      <c r="Y4">
        <f t="shared" si="0"/>
        <v>4.3182270475478477</v>
      </c>
      <c r="Z4">
        <f t="shared" si="0"/>
        <v>4.5943944458789776</v>
      </c>
      <c r="AA4">
        <f t="shared" si="0"/>
        <v>4.6078585427204306</v>
      </c>
      <c r="AB4">
        <f t="shared" si="0"/>
        <v>4.9956797455579434</v>
      </c>
      <c r="AC4">
        <f t="shared" si="0"/>
        <v>5.5650060868951901</v>
      </c>
      <c r="AD4">
        <f t="shared" si="0"/>
        <v>5.249982575315399</v>
      </c>
      <c r="AE4">
        <f t="shared" si="0"/>
        <v>4.9364010184743039</v>
      </c>
      <c r="AF4">
        <f t="shared" si="0"/>
        <v>4.5568681814425869</v>
      </c>
      <c r="AG4">
        <f t="shared" si="0"/>
        <v>4.3733951938250994</v>
      </c>
      <c r="AH4">
        <f t="shared" ref="AH4:AY4" si="1">AH2/AH3</f>
        <v>5.1603128998469643</v>
      </c>
      <c r="AI4">
        <f t="shared" si="1"/>
        <v>3.8760005076520874</v>
      </c>
      <c r="AJ4">
        <f t="shared" si="1"/>
        <v>4.6074261703007933</v>
      </c>
      <c r="AK4">
        <f t="shared" si="1"/>
        <v>4.8088265803336245</v>
      </c>
      <c r="AL4">
        <f t="shared" si="1"/>
        <v>4.7588772217706854</v>
      </c>
      <c r="AM4">
        <f t="shared" si="1"/>
        <v>4.0831127096968283</v>
      </c>
      <c r="AN4">
        <f t="shared" si="1"/>
        <v>4.5168908607121319</v>
      </c>
      <c r="AO4">
        <f t="shared" si="1"/>
        <v>4.7645228830767286</v>
      </c>
      <c r="AP4">
        <f t="shared" si="1"/>
        <v>5.0291645910191791</v>
      </c>
      <c r="AQ4">
        <f t="shared" si="1"/>
        <v>4.3478279348280715</v>
      </c>
      <c r="AR4">
        <f t="shared" si="1"/>
        <v>4.0846542176537257</v>
      </c>
      <c r="AS4">
        <f t="shared" si="1"/>
        <v>3.9587163631880884</v>
      </c>
      <c r="AT4">
        <f t="shared" si="1"/>
        <v>4.3398016912802255</v>
      </c>
      <c r="AU4">
        <f t="shared" si="1"/>
        <v>4.2876676122548734</v>
      </c>
      <c r="AV4">
        <f t="shared" si="1"/>
        <v>4.2924632361620016</v>
      </c>
      <c r="AW4">
        <f t="shared" si="1"/>
        <v>4.3088651751817242</v>
      </c>
      <c r="AX4">
        <f t="shared" si="1"/>
        <v>4.3269468653393188</v>
      </c>
      <c r="AY4">
        <f t="shared" si="1"/>
        <v>4.7068812961410176</v>
      </c>
    </row>
    <row r="5" spans="1:51" x14ac:dyDescent="0.2">
      <c r="B5" t="s">
        <v>311</v>
      </c>
      <c r="D5" t="s">
        <v>312</v>
      </c>
    </row>
    <row r="6" spans="1:51" x14ac:dyDescent="0.2">
      <c r="A6" t="s">
        <v>127</v>
      </c>
      <c r="B6">
        <f>AVERAGE(B4:F4)</f>
        <v>5.2884114536723192</v>
      </c>
    </row>
    <row r="7" spans="1:51" x14ac:dyDescent="0.2">
      <c r="A7" t="s">
        <v>126</v>
      </c>
      <c r="B7">
        <f>AVERAGE(G4:K4)</f>
        <v>5.2813850982373891</v>
      </c>
      <c r="D7">
        <f>B7/$B$6</f>
        <v>0.99867136748029484</v>
      </c>
    </row>
    <row r="8" spans="1:51" x14ac:dyDescent="0.2">
      <c r="A8" t="s">
        <v>125</v>
      </c>
      <c r="B8">
        <f>AVERAGE(L4:P4)</f>
        <v>4.6629760153245474</v>
      </c>
      <c r="D8">
        <f>B8/$B$6</f>
        <v>0.88173472434459232</v>
      </c>
    </row>
    <row r="9" spans="1:51" x14ac:dyDescent="0.2">
      <c r="A9" t="s">
        <v>124</v>
      </c>
      <c r="B9">
        <f>AVERAGE(Q4:U4)</f>
        <v>4.3780202005174882</v>
      </c>
      <c r="D9">
        <f>B9/$B$6</f>
        <v>0.8278516599682032</v>
      </c>
    </row>
    <row r="10" spans="1:51" x14ac:dyDescent="0.2">
      <c r="A10" t="s">
        <v>123</v>
      </c>
      <c r="B10">
        <f>AVERAGE(V4:Z4)</f>
        <v>4.7076292554526615</v>
      </c>
      <c r="D10">
        <f>B10/$B$6</f>
        <v>0.89017832608006375</v>
      </c>
    </row>
    <row r="12" spans="1:51" x14ac:dyDescent="0.2">
      <c r="A12" t="s">
        <v>122</v>
      </c>
      <c r="B12">
        <f>AVERAGE(AA4:AE4)</f>
        <v>5.0709855937926536</v>
      </c>
    </row>
    <row r="13" spans="1:51" x14ac:dyDescent="0.2">
      <c r="A13" t="s">
        <v>121</v>
      </c>
      <c r="B13">
        <f>AVERAGE(AF4:AJ4)</f>
        <v>4.5148005906135058</v>
      </c>
      <c r="D13">
        <f>B13/$B$12</f>
        <v>0.89032013739893712</v>
      </c>
    </row>
    <row r="14" spans="1:51" x14ac:dyDescent="0.2">
      <c r="A14" t="s">
        <v>120</v>
      </c>
      <c r="B14">
        <f>AVERAGE(AK4:AO4)</f>
        <v>4.5864460511180001</v>
      </c>
      <c r="D14">
        <f>B14/$B$12</f>
        <v>0.90444864539394987</v>
      </c>
    </row>
    <row r="15" spans="1:51" x14ac:dyDescent="0.2">
      <c r="A15" t="s">
        <v>119</v>
      </c>
      <c r="B15">
        <f>AVERAGE(AP4:AT4)</f>
        <v>4.3520329595938581</v>
      </c>
      <c r="D15">
        <f>B15/$B$12</f>
        <v>0.85822230789240284</v>
      </c>
    </row>
    <row r="16" spans="1:51" x14ac:dyDescent="0.2">
      <c r="A16" t="s">
        <v>118</v>
      </c>
      <c r="B16">
        <f>AVERAGE(AU4:AY4)</f>
        <v>4.3845648370157866</v>
      </c>
      <c r="D16">
        <f>B16/$B$12</f>
        <v>0.86463760464689388</v>
      </c>
    </row>
  </sheetData>
  <conditionalFormatting sqref="A2:A3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</vt:lpstr>
      <vt:lpstr>PC</vt:lpstr>
      <vt:lpstr>PC_PE</vt:lpstr>
    </vt:vector>
  </TitlesOfParts>
  <Company>Georgia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Gaul, David A</dc:creator>
  <cp:lastModifiedBy>Leach, Damon T</cp:lastModifiedBy>
  <dcterms:created xsi:type="dcterms:W3CDTF">2025-11-18T16:12:05Z</dcterms:created>
  <dcterms:modified xsi:type="dcterms:W3CDTF">2025-12-11T02:05:46Z</dcterms:modified>
</cp:coreProperties>
</file>