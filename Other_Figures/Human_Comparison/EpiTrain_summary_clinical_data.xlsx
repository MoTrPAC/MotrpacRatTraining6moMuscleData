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lenel/Desktop/Research/PhD-project/Projekt/EpiTrain/Analyser/Grunddata/"/>
    </mc:Choice>
  </mc:AlternateContent>
  <xr:revisionPtr revIDLastSave="0" documentId="13_ncr:1_{64146EE6-94D4-BC40-9AA4-CF7DD01F527C}" xr6:coauthVersionLast="47" xr6:coauthVersionMax="47" xr10:uidLastSave="{00000000-0000-0000-0000-000000000000}"/>
  <bookViews>
    <workbookView xWindow="2280" yWindow="500" windowWidth="34380" windowHeight="20180" tabRatio="500" xr2:uid="{00000000-000D-0000-FFFF-FFFF00000000}"/>
  </bookViews>
  <sheets>
    <sheet name="Study description" sheetId="3" r:id="rId1"/>
    <sheet name="Biopsy_codes" sheetId="4" r:id="rId2"/>
    <sheet name="Period 1" sheetId="1" r:id="rId3"/>
    <sheet name="Period 2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4" i="1" l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<sst xmlns="http://schemas.openxmlformats.org/spreadsheetml/2006/main" count="442" uniqueCount="223">
  <si>
    <t>Subject</t>
  </si>
  <si>
    <t>Sex</t>
  </si>
  <si>
    <t>f</t>
  </si>
  <si>
    <t>m</t>
  </si>
  <si>
    <t>BMI</t>
  </si>
  <si>
    <t>Trained leg</t>
  </si>
  <si>
    <t>R (D)</t>
  </si>
  <si>
    <t>L</t>
  </si>
  <si>
    <t>R</t>
  </si>
  <si>
    <t>Age</t>
  </si>
  <si>
    <t>Height (cm)</t>
  </si>
  <si>
    <t>Weight (Kg)</t>
  </si>
  <si>
    <t>VO2 (l/min)</t>
  </si>
  <si>
    <t>VO2 (ml/kg/min)</t>
  </si>
  <si>
    <t>Duration pre (min)</t>
  </si>
  <si>
    <t>Duration post (min)</t>
  </si>
  <si>
    <t>Max test T-leg pre T1 (W)</t>
  </si>
  <si>
    <t>Max test U-leg pre U1 (W)</t>
  </si>
  <si>
    <t>Max test T-leg post T2 (W)</t>
  </si>
  <si>
    <t>Max test U-leg post U2 (W)</t>
  </si>
  <si>
    <t>15-min test T-leg pre T1 (total W)</t>
  </si>
  <si>
    <t>15-min test U-leg pre U1 (av.W)</t>
  </si>
  <si>
    <t>15-min test U-leg pre U1 (total W)</t>
  </si>
  <si>
    <t>15-min test T-leg pre T1 (av.W)</t>
  </si>
  <si>
    <t>15-min test T-leg post T2 (total W)</t>
  </si>
  <si>
    <t>15-min test U-leg post U2 (av.W)</t>
  </si>
  <si>
    <t>15-min test U-leg post U2 (total W)</t>
  </si>
  <si>
    <t>CS-activity T-leg pre T1</t>
  </si>
  <si>
    <t>CS-activity U-leg pre U1</t>
  </si>
  <si>
    <t>CS-activity T-leg post T2</t>
  </si>
  <si>
    <t>CS-activity U-leg post U2</t>
  </si>
  <si>
    <t>HAD-activity U-leg post U2</t>
  </si>
  <si>
    <t>HAD-activity T-leg post T2</t>
  </si>
  <si>
    <t>HAD-activity U-leg pre U1</t>
  </si>
  <si>
    <t>HAD-activity T-leg pre T1</t>
  </si>
  <si>
    <t>T- leg</t>
  </si>
  <si>
    <t>Max test T-leg pre T3 (W)</t>
  </si>
  <si>
    <t>Max test U-leg pre U3 (W)</t>
  </si>
  <si>
    <t>Max test T-leg post T4 (W)</t>
  </si>
  <si>
    <t>Max test U-leg post U4 (W)</t>
  </si>
  <si>
    <t>15-min test T-leg pre T3 (av.W)</t>
  </si>
  <si>
    <t>15-min test T-leg pre T3 (total W)</t>
  </si>
  <si>
    <t>15-min test U-leg pre U3 (av.W)</t>
  </si>
  <si>
    <t>15-min test U-leg pre U3 (total W)</t>
  </si>
  <si>
    <t>15-min test T-leg post T4 (av.W)</t>
  </si>
  <si>
    <t>15-min test T-leg post T2 (av.W)</t>
  </si>
  <si>
    <t>15-min test T-leg post T4 (total W)</t>
  </si>
  <si>
    <t>15-min test U-leg post U4 (av.W)</t>
  </si>
  <si>
    <t>15-min test U-leg post U4 (total W)</t>
  </si>
  <si>
    <t>CS-activity T-leg pre T3</t>
  </si>
  <si>
    <t>CS-activity U-leg pre U3</t>
  </si>
  <si>
    <t>CS-activity T-leg post T4</t>
  </si>
  <si>
    <t>CS-activity U-leg post U4</t>
  </si>
  <si>
    <t>HAD-activity T-leg pre T3</t>
  </si>
  <si>
    <t>HAD-activity U-leg pre U3</t>
  </si>
  <si>
    <t>HAD-activity T-leg post T4</t>
  </si>
  <si>
    <t>HAD-activity U-leg post U4</t>
  </si>
  <si>
    <t xml:space="preserve">Period 1: </t>
  </si>
  <si>
    <t>A VO2-max test was performed before the training period to assess aerobic fitness.</t>
  </si>
  <si>
    <t>2 different one-legged performance tests were also conducted (named max test and 15-min performance test, where the latter is the most robust one).</t>
  </si>
  <si>
    <t>23 subjects then trained one randomized leg, 45 min 4 times per week for 3 months. All participants completed 45 supervised training sessions in total.</t>
  </si>
  <si>
    <t>Timepoint</t>
  </si>
  <si>
    <t>In addition, skeletal muscle  biopsies were obtained from both legs before training. The legs are named T-trained for the leg that will train and U-untrained for the resting control leg.</t>
  </si>
  <si>
    <t>Code</t>
  </si>
  <si>
    <t>T1 and U1</t>
  </si>
  <si>
    <t>After the training period, muscle biopsies were again taken from both legs and the performance tests were repeated.</t>
  </si>
  <si>
    <t>T2 and U2</t>
  </si>
  <si>
    <t>T2 is now well-trained and U2 untrained.</t>
  </si>
  <si>
    <t xml:space="preserve">Period 2: </t>
  </si>
  <si>
    <t>13 of the subjects returned after 9 months without training. A VO2-max test was performed again to assess aerobic fitness.</t>
  </si>
  <si>
    <t>The 2 different one-legged performance tests were conducted.</t>
  </si>
  <si>
    <t>Skeletal muscle  biopsies were obtained from both legs before training.</t>
  </si>
  <si>
    <t>T3 and U3</t>
  </si>
  <si>
    <t xml:space="preserve">12 subjects (one did not have time to do the training) then trained both legs each session, 2*45 min 4 times per week for 3 months at the same load as during Period 1. </t>
  </si>
  <si>
    <t>All participants completed 45 supervised training sessions in total.</t>
  </si>
  <si>
    <t>Both T4 and U4 are now trained.</t>
  </si>
  <si>
    <t>T4 and U4</t>
  </si>
  <si>
    <t>The Epitrain study is divided into two training periods.</t>
  </si>
  <si>
    <t>Subject</t>
    <phoneticPr fontId="0" type="noConversion"/>
  </si>
  <si>
    <t>Biopsy ID</t>
  </si>
  <si>
    <t>Leg</t>
  </si>
  <si>
    <t>U</t>
  </si>
  <si>
    <t>T</t>
  </si>
  <si>
    <t>1T1A/B</t>
  </si>
  <si>
    <t>1U2A/B</t>
  </si>
  <si>
    <t>1U1A/B</t>
  </si>
  <si>
    <t>1T2A/B</t>
  </si>
  <si>
    <t>1U3A/B</t>
  </si>
  <si>
    <t>1T3A/B</t>
  </si>
  <si>
    <t>1U4A/B</t>
  </si>
  <si>
    <t>1T4A/B</t>
  </si>
  <si>
    <t>2U1A/B</t>
  </si>
  <si>
    <t>2T1A/B</t>
  </si>
  <si>
    <t>2U2A/B</t>
  </si>
  <si>
    <t>2T2A/B</t>
  </si>
  <si>
    <t>3U1A/B</t>
  </si>
  <si>
    <t>3T1A/B</t>
  </si>
  <si>
    <t>3U2A/B</t>
  </si>
  <si>
    <t>3T2A/B</t>
  </si>
  <si>
    <t>4U1A/B</t>
  </si>
  <si>
    <t>4T1A/B</t>
  </si>
  <si>
    <t>4U2A/B</t>
  </si>
  <si>
    <t>4T2A/B</t>
  </si>
  <si>
    <t>4U3A/B</t>
  </si>
  <si>
    <t>4T3A/B</t>
  </si>
  <si>
    <t>4U4A/B</t>
  </si>
  <si>
    <t>4T4A/B</t>
  </si>
  <si>
    <t>5U1A/B</t>
  </si>
  <si>
    <t>5T1A/B</t>
  </si>
  <si>
    <t>5U2A/B</t>
  </si>
  <si>
    <t>5T2A/B</t>
  </si>
  <si>
    <t>5U3A/B</t>
  </si>
  <si>
    <t>5T3A/B</t>
  </si>
  <si>
    <t>5U4A/B</t>
  </si>
  <si>
    <t>5T4A/B</t>
  </si>
  <si>
    <t>7U1A/B</t>
  </si>
  <si>
    <t>7T1A/B</t>
  </si>
  <si>
    <t>7U2A/B</t>
  </si>
  <si>
    <t>7T2A/B</t>
  </si>
  <si>
    <t>9U1A/B</t>
  </si>
  <si>
    <t>9T1A/B</t>
  </si>
  <si>
    <t>9U2A/B</t>
  </si>
  <si>
    <t>9T2A/B</t>
  </si>
  <si>
    <t>9U3A/B</t>
  </si>
  <si>
    <t>9T3A/B</t>
  </si>
  <si>
    <t>9U4A/B</t>
  </si>
  <si>
    <t>9T4A/B</t>
  </si>
  <si>
    <t>11U1A/B</t>
  </si>
  <si>
    <t>11T1A/B</t>
  </si>
  <si>
    <t>11U2A/B</t>
  </si>
  <si>
    <t>11T2A/B</t>
  </si>
  <si>
    <t>12U1A/B</t>
  </si>
  <si>
    <t>12T1A/B</t>
  </si>
  <si>
    <t>12U2A/B</t>
  </si>
  <si>
    <t>12T2A/B</t>
  </si>
  <si>
    <t>12U3A/B</t>
  </si>
  <si>
    <t>12T3A/B</t>
  </si>
  <si>
    <t>12U4A/B</t>
  </si>
  <si>
    <t>12T4A/B</t>
  </si>
  <si>
    <t>13U1A/B</t>
  </si>
  <si>
    <t>13T1A/B</t>
  </si>
  <si>
    <t>13U2A/B</t>
  </si>
  <si>
    <t>13T2A/B</t>
  </si>
  <si>
    <t>13U3A/B</t>
  </si>
  <si>
    <t>13T3A/B</t>
  </si>
  <si>
    <t>13U4A/B</t>
  </si>
  <si>
    <t>13T4A/B</t>
  </si>
  <si>
    <t>14U1A/B</t>
  </si>
  <si>
    <t>14T1A/B</t>
  </si>
  <si>
    <t>14U2A/B</t>
  </si>
  <si>
    <t>14T2A/B</t>
  </si>
  <si>
    <t>15U1A/B</t>
  </si>
  <si>
    <t>15T1A/B</t>
  </si>
  <si>
    <t>15U2A/B</t>
  </si>
  <si>
    <t>15T2A/B</t>
  </si>
  <si>
    <t>15U3A/B</t>
  </si>
  <si>
    <t>15T3A/B</t>
  </si>
  <si>
    <t>15U4A/B</t>
  </si>
  <si>
    <t>15T4A/B</t>
  </si>
  <si>
    <t>16U1A/B</t>
  </si>
  <si>
    <t>16T1A/B</t>
  </si>
  <si>
    <t>16U2A/B</t>
  </si>
  <si>
    <t>16T2A/B</t>
  </si>
  <si>
    <t>16U3A/B</t>
  </si>
  <si>
    <t>16T3A/B</t>
  </si>
  <si>
    <t>16U4A/B</t>
  </si>
  <si>
    <t>16T4A/B</t>
  </si>
  <si>
    <t>18U1A/B</t>
  </si>
  <si>
    <t>18T1A/B</t>
  </si>
  <si>
    <t>18U2A/B</t>
  </si>
  <si>
    <t>18T2A/B</t>
  </si>
  <si>
    <t>19U1A/B</t>
  </si>
  <si>
    <t>19T1A/B</t>
  </si>
  <si>
    <t>19U2A/B</t>
  </si>
  <si>
    <t>19T2A/B</t>
  </si>
  <si>
    <t>20U1A/B</t>
  </si>
  <si>
    <t>20T1A/B</t>
  </si>
  <si>
    <t>20U2A/B</t>
  </si>
  <si>
    <t>20T2A/B</t>
  </si>
  <si>
    <t>20U3A/B</t>
  </si>
  <si>
    <t>20T3A/B</t>
  </si>
  <si>
    <t>20U4A/B</t>
  </si>
  <si>
    <t>20T4A/B</t>
  </si>
  <si>
    <t>21U1A/B</t>
  </si>
  <si>
    <t>21T1A/B</t>
  </si>
  <si>
    <t>21U2A/B</t>
  </si>
  <si>
    <t>21T2A/B</t>
  </si>
  <si>
    <t>22U1A/B</t>
  </si>
  <si>
    <t>22T1A/B</t>
  </si>
  <si>
    <t>22U2A/B</t>
  </si>
  <si>
    <t>22T2A/B</t>
  </si>
  <si>
    <t>23U1A/B</t>
  </si>
  <si>
    <t>23T1A/B</t>
  </si>
  <si>
    <t>23U2A/B</t>
  </si>
  <si>
    <t>23T2A/B</t>
  </si>
  <si>
    <t>23U3A/B</t>
  </si>
  <si>
    <t>23T3A/B</t>
  </si>
  <si>
    <t>23U4A/B</t>
  </si>
  <si>
    <t>23T4A/B</t>
  </si>
  <si>
    <t>24U1A/B</t>
  </si>
  <si>
    <t>24T1A/B</t>
  </si>
  <si>
    <t>24U2A/B</t>
  </si>
  <si>
    <t>24T2A/B</t>
  </si>
  <si>
    <t>26U1A/B</t>
  </si>
  <si>
    <t>26T1A/B</t>
  </si>
  <si>
    <t>26U2A/B</t>
  </si>
  <si>
    <t>26T2A/B</t>
  </si>
  <si>
    <t>26U3A/B</t>
  </si>
  <si>
    <t>26T3A/B</t>
  </si>
  <si>
    <t>26U4A/B</t>
  </si>
  <si>
    <t>26T4A/B</t>
  </si>
  <si>
    <t>27U1A/B</t>
  </si>
  <si>
    <t>27T1A/B</t>
  </si>
  <si>
    <t>27U2A/B</t>
  </si>
  <si>
    <t>27T2A/B</t>
  </si>
  <si>
    <t>27U3A/B</t>
  </si>
  <si>
    <t>27T3A/B</t>
  </si>
  <si>
    <t>27U4A/B</t>
  </si>
  <si>
    <t>27T4A/B</t>
  </si>
  <si>
    <t>28U1A/B</t>
  </si>
  <si>
    <t>28T1A/B</t>
  </si>
  <si>
    <t>28U2A/B</t>
  </si>
  <si>
    <t>28T2A/B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</si>
</sst>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2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9"/>
      <name val="Geneva"/>
      <family val="2"/>
    </font>
    <font>
      <i/>
      <u/>
      <sz val="9"/>
      <name val="Genev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name val="Geneva"/>
      <family val="2"/>
    </font>
    <font>
      <b/>
      <sz val="12"/>
      <name val="Helv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5" xfId="0" applyBorder="1"/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/>
    <xf numFmtId="0" fontId="0" fillId="0" borderId="3" xfId="0" applyBorder="1"/>
    <xf numFmtId="164" fontId="0" fillId="0" borderId="6" xfId="0" applyNumberFormat="1" applyBorder="1"/>
    <xf numFmtId="164" fontId="0" fillId="0" borderId="3" xfId="0" applyNumberFormat="1" applyBorder="1"/>
    <xf numFmtId="164" fontId="0" fillId="0" borderId="7" xfId="0" applyNumberFormat="1" applyBorder="1"/>
    <xf numFmtId="164" fontId="0" fillId="0" borderId="4" xfId="0" applyNumberFormat="1" applyBorder="1"/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/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4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11" fillId="0" borderId="4" xfId="0" applyNumberFormat="1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</cellXfs>
  <cellStyles count="1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33" sqref="C33"/>
    </sheetView>
  </sheetViews>
  <sheetFormatPr baseColWidth="10" defaultRowHeight="16"/>
  <sheetData>
    <row r="1" spans="1:3">
      <c r="A1" t="s">
        <v>77</v>
      </c>
    </row>
    <row r="3" spans="1:3">
      <c r="C3" t="s">
        <v>57</v>
      </c>
    </row>
    <row r="4" spans="1:3">
      <c r="A4" s="33" t="s">
        <v>61</v>
      </c>
      <c r="B4" s="33" t="s">
        <v>63</v>
      </c>
    </row>
    <row r="5" spans="1:3">
      <c r="A5" s="60">
        <v>1</v>
      </c>
      <c r="C5" t="s">
        <v>58</v>
      </c>
    </row>
    <row r="6" spans="1:3">
      <c r="A6" s="60"/>
      <c r="C6" t="s">
        <v>59</v>
      </c>
    </row>
    <row r="7" spans="1:3">
      <c r="A7" s="60"/>
      <c r="B7" s="33" t="s">
        <v>64</v>
      </c>
      <c r="C7" t="s">
        <v>62</v>
      </c>
    </row>
    <row r="8" spans="1:3">
      <c r="B8" s="33"/>
    </row>
    <row r="9" spans="1:3">
      <c r="B9" s="33"/>
      <c r="C9" t="s">
        <v>60</v>
      </c>
    </row>
    <row r="10" spans="1:3">
      <c r="B10" s="33"/>
    </row>
    <row r="11" spans="1:3" ht="19">
      <c r="A11" s="34">
        <v>2</v>
      </c>
      <c r="B11" s="33" t="s">
        <v>66</v>
      </c>
      <c r="C11" t="s">
        <v>65</v>
      </c>
    </row>
    <row r="12" spans="1:3">
      <c r="C12" t="s">
        <v>67</v>
      </c>
    </row>
    <row r="15" spans="1:3">
      <c r="C15" t="s">
        <v>68</v>
      </c>
    </row>
    <row r="16" spans="1:3">
      <c r="A16" s="33"/>
      <c r="B16" s="33"/>
    </row>
    <row r="17" spans="1:3">
      <c r="A17" s="60">
        <v>3</v>
      </c>
      <c r="C17" t="s">
        <v>69</v>
      </c>
    </row>
    <row r="18" spans="1:3">
      <c r="A18" s="60"/>
      <c r="C18" t="s">
        <v>70</v>
      </c>
    </row>
    <row r="19" spans="1:3">
      <c r="A19" s="60"/>
      <c r="B19" s="33" t="s">
        <v>72</v>
      </c>
      <c r="C19" t="s">
        <v>71</v>
      </c>
    </row>
    <row r="20" spans="1:3">
      <c r="B20" s="33"/>
    </row>
    <row r="21" spans="1:3">
      <c r="B21" s="33"/>
      <c r="C21" t="s">
        <v>73</v>
      </c>
    </row>
    <row r="22" spans="1:3">
      <c r="B22" s="33"/>
      <c r="C22" t="s">
        <v>74</v>
      </c>
    </row>
    <row r="24" spans="1:3" ht="19">
      <c r="A24" s="34">
        <v>4</v>
      </c>
      <c r="B24" s="33" t="s">
        <v>76</v>
      </c>
      <c r="C24" t="s">
        <v>65</v>
      </c>
    </row>
    <row r="25" spans="1:3">
      <c r="C25" t="s">
        <v>75</v>
      </c>
    </row>
  </sheetData>
  <mergeCells count="2">
    <mergeCell ref="A5:A7"/>
    <mergeCell ref="A17:A1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8544-8773-4749-ABC1-CB2D645BC617}">
  <dimension ref="A1:E141"/>
  <sheetViews>
    <sheetView topLeftCell="A67" workbookViewId="0">
      <selection activeCell="E10" sqref="E10"/>
    </sheetView>
  </sheetViews>
  <sheetFormatPr baseColWidth="10" defaultRowHeight="16"/>
  <sheetData>
    <row r="1" spans="1:5" ht="17" thickBot="1">
      <c r="A1" s="55" t="s">
        <v>78</v>
      </c>
      <c r="B1" s="56" t="s">
        <v>61</v>
      </c>
      <c r="C1" s="56" t="s">
        <v>80</v>
      </c>
      <c r="D1" s="56" t="s">
        <v>79</v>
      </c>
      <c r="E1" s="61"/>
    </row>
    <row r="2" spans="1:5" ht="17" thickTop="1">
      <c r="A2" s="57">
        <v>1</v>
      </c>
      <c r="B2">
        <v>1</v>
      </c>
      <c r="C2" t="s">
        <v>81</v>
      </c>
      <c r="D2" s="58" t="s">
        <v>85</v>
      </c>
    </row>
    <row r="3" spans="1:5">
      <c r="A3" s="57"/>
      <c r="B3">
        <v>1</v>
      </c>
      <c r="C3" t="s">
        <v>82</v>
      </c>
      <c r="D3" s="59" t="s">
        <v>83</v>
      </c>
    </row>
    <row r="4" spans="1:5">
      <c r="A4" s="57"/>
      <c r="B4">
        <v>2</v>
      </c>
      <c r="C4" t="s">
        <v>81</v>
      </c>
      <c r="D4" s="59" t="s">
        <v>84</v>
      </c>
    </row>
    <row r="5" spans="1:5">
      <c r="A5" s="57"/>
      <c r="B5">
        <v>2</v>
      </c>
      <c r="C5" t="s">
        <v>82</v>
      </c>
      <c r="D5" s="59" t="s">
        <v>86</v>
      </c>
    </row>
    <row r="6" spans="1:5">
      <c r="A6" s="57"/>
      <c r="B6">
        <v>3</v>
      </c>
      <c r="C6" t="s">
        <v>81</v>
      </c>
      <c r="D6" s="59" t="s">
        <v>87</v>
      </c>
    </row>
    <row r="7" spans="1:5">
      <c r="A7" s="57"/>
      <c r="B7">
        <v>3</v>
      </c>
      <c r="C7" t="s">
        <v>82</v>
      </c>
      <c r="D7" s="59" t="s">
        <v>88</v>
      </c>
    </row>
    <row r="8" spans="1:5">
      <c r="A8" s="57"/>
      <c r="B8">
        <v>4</v>
      </c>
      <c r="C8" t="s">
        <v>81</v>
      </c>
      <c r="D8" s="59" t="s">
        <v>89</v>
      </c>
    </row>
    <row r="9" spans="1:5">
      <c r="A9" s="57"/>
      <c r="B9">
        <v>4</v>
      </c>
      <c r="C9" t="s">
        <v>82</v>
      </c>
      <c r="D9" s="59" t="s">
        <v>90</v>
      </c>
    </row>
    <row r="10" spans="1:5">
      <c r="A10" s="57">
        <v>2</v>
      </c>
      <c r="B10">
        <v>1</v>
      </c>
      <c r="C10" t="s">
        <v>81</v>
      </c>
      <c r="D10" s="58" t="s">
        <v>91</v>
      </c>
    </row>
    <row r="11" spans="1:5">
      <c r="A11" s="57"/>
      <c r="B11">
        <v>1</v>
      </c>
      <c r="C11" t="s">
        <v>82</v>
      </c>
      <c r="D11" s="59" t="s">
        <v>92</v>
      </c>
    </row>
    <row r="12" spans="1:5">
      <c r="A12" s="57"/>
      <c r="B12">
        <v>2</v>
      </c>
      <c r="C12" t="s">
        <v>81</v>
      </c>
      <c r="D12" s="59" t="s">
        <v>93</v>
      </c>
    </row>
    <row r="13" spans="1:5">
      <c r="A13" s="57"/>
      <c r="B13">
        <v>2</v>
      </c>
      <c r="C13" t="s">
        <v>82</v>
      </c>
      <c r="D13" s="59" t="s">
        <v>94</v>
      </c>
    </row>
    <row r="14" spans="1:5">
      <c r="A14" s="57">
        <v>3</v>
      </c>
      <c r="B14">
        <v>1</v>
      </c>
      <c r="C14" t="s">
        <v>81</v>
      </c>
      <c r="D14" s="58" t="s">
        <v>95</v>
      </c>
    </row>
    <row r="15" spans="1:5">
      <c r="A15" s="57"/>
      <c r="B15">
        <v>1</v>
      </c>
      <c r="C15" t="s">
        <v>82</v>
      </c>
      <c r="D15" s="59" t="s">
        <v>96</v>
      </c>
    </row>
    <row r="16" spans="1:5">
      <c r="A16" s="57"/>
      <c r="B16">
        <v>2</v>
      </c>
      <c r="C16" t="s">
        <v>81</v>
      </c>
      <c r="D16" s="59" t="s">
        <v>97</v>
      </c>
    </row>
    <row r="17" spans="1:4">
      <c r="A17" s="57"/>
      <c r="B17">
        <v>2</v>
      </c>
      <c r="C17" t="s">
        <v>82</v>
      </c>
      <c r="D17" s="59" t="s">
        <v>98</v>
      </c>
    </row>
    <row r="18" spans="1:4">
      <c r="A18" s="57">
        <v>4</v>
      </c>
      <c r="B18">
        <v>1</v>
      </c>
      <c r="C18" t="s">
        <v>81</v>
      </c>
      <c r="D18" s="58" t="s">
        <v>99</v>
      </c>
    </row>
    <row r="19" spans="1:4">
      <c r="A19" s="57"/>
      <c r="B19">
        <v>1</v>
      </c>
      <c r="C19" t="s">
        <v>82</v>
      </c>
      <c r="D19" s="59" t="s">
        <v>100</v>
      </c>
    </row>
    <row r="20" spans="1:4">
      <c r="A20" s="57"/>
      <c r="B20">
        <v>2</v>
      </c>
      <c r="C20" t="s">
        <v>81</v>
      </c>
      <c r="D20" s="59" t="s">
        <v>101</v>
      </c>
    </row>
    <row r="21" spans="1:4">
      <c r="A21" s="57"/>
      <c r="B21">
        <v>2</v>
      </c>
      <c r="C21" t="s">
        <v>82</v>
      </c>
      <c r="D21" s="59" t="s">
        <v>102</v>
      </c>
    </row>
    <row r="22" spans="1:4">
      <c r="A22" s="57"/>
      <c r="B22">
        <v>3</v>
      </c>
      <c r="C22" t="s">
        <v>81</v>
      </c>
      <c r="D22" s="59" t="s">
        <v>103</v>
      </c>
    </row>
    <row r="23" spans="1:4">
      <c r="A23" s="57"/>
      <c r="B23">
        <v>3</v>
      </c>
      <c r="C23" t="s">
        <v>82</v>
      </c>
      <c r="D23" s="59" t="s">
        <v>104</v>
      </c>
    </row>
    <row r="24" spans="1:4">
      <c r="A24" s="57"/>
      <c r="B24">
        <v>4</v>
      </c>
      <c r="C24" t="s">
        <v>81</v>
      </c>
      <c r="D24" s="59" t="s">
        <v>105</v>
      </c>
    </row>
    <row r="25" spans="1:4">
      <c r="A25" s="57"/>
      <c r="B25">
        <v>4</v>
      </c>
      <c r="C25" t="s">
        <v>82</v>
      </c>
      <c r="D25" s="59" t="s">
        <v>106</v>
      </c>
    </row>
    <row r="26" spans="1:4">
      <c r="A26" s="57">
        <v>5</v>
      </c>
      <c r="B26">
        <v>1</v>
      </c>
      <c r="C26" t="s">
        <v>81</v>
      </c>
      <c r="D26" s="58" t="s">
        <v>107</v>
      </c>
    </row>
    <row r="27" spans="1:4">
      <c r="A27" s="57"/>
      <c r="B27">
        <v>1</v>
      </c>
      <c r="C27" t="s">
        <v>82</v>
      </c>
      <c r="D27" s="59" t="s">
        <v>108</v>
      </c>
    </row>
    <row r="28" spans="1:4">
      <c r="A28" s="57"/>
      <c r="B28">
        <v>2</v>
      </c>
      <c r="C28" t="s">
        <v>81</v>
      </c>
      <c r="D28" s="59" t="s">
        <v>109</v>
      </c>
    </row>
    <row r="29" spans="1:4">
      <c r="A29" s="57"/>
      <c r="B29">
        <v>2</v>
      </c>
      <c r="C29" t="s">
        <v>82</v>
      </c>
      <c r="D29" s="59" t="s">
        <v>110</v>
      </c>
    </row>
    <row r="30" spans="1:4">
      <c r="A30" s="57"/>
      <c r="B30">
        <v>3</v>
      </c>
      <c r="C30" t="s">
        <v>81</v>
      </c>
      <c r="D30" s="59" t="s">
        <v>111</v>
      </c>
    </row>
    <row r="31" spans="1:4">
      <c r="A31" s="57"/>
      <c r="B31">
        <v>3</v>
      </c>
      <c r="C31" t="s">
        <v>82</v>
      </c>
      <c r="D31" s="59" t="s">
        <v>112</v>
      </c>
    </row>
    <row r="32" spans="1:4">
      <c r="A32" s="57"/>
      <c r="B32">
        <v>4</v>
      </c>
      <c r="C32" t="s">
        <v>81</v>
      </c>
      <c r="D32" s="59" t="s">
        <v>113</v>
      </c>
    </row>
    <row r="33" spans="1:4">
      <c r="A33" s="57"/>
      <c r="B33">
        <v>4</v>
      </c>
      <c r="C33" t="s">
        <v>82</v>
      </c>
      <c r="D33" s="59" t="s">
        <v>114</v>
      </c>
    </row>
    <row r="34" spans="1:4">
      <c r="A34" s="57">
        <v>7</v>
      </c>
      <c r="B34">
        <v>1</v>
      </c>
      <c r="C34" t="s">
        <v>81</v>
      </c>
      <c r="D34" s="58" t="s">
        <v>115</v>
      </c>
    </row>
    <row r="35" spans="1:4">
      <c r="A35" s="57"/>
      <c r="B35">
        <v>1</v>
      </c>
      <c r="C35" t="s">
        <v>82</v>
      </c>
      <c r="D35" s="59" t="s">
        <v>116</v>
      </c>
    </row>
    <row r="36" spans="1:4">
      <c r="A36" s="57"/>
      <c r="B36">
        <v>2</v>
      </c>
      <c r="C36" t="s">
        <v>81</v>
      </c>
      <c r="D36" s="59" t="s">
        <v>117</v>
      </c>
    </row>
    <row r="37" spans="1:4">
      <c r="A37" s="57"/>
      <c r="B37">
        <v>2</v>
      </c>
      <c r="C37" t="s">
        <v>82</v>
      </c>
      <c r="D37" s="59" t="s">
        <v>118</v>
      </c>
    </row>
    <row r="38" spans="1:4">
      <c r="A38" s="57">
        <v>9</v>
      </c>
      <c r="B38">
        <v>1</v>
      </c>
      <c r="C38" t="s">
        <v>81</v>
      </c>
      <c r="D38" s="58" t="s">
        <v>119</v>
      </c>
    </row>
    <row r="39" spans="1:4">
      <c r="A39" s="57"/>
      <c r="B39">
        <v>1</v>
      </c>
      <c r="C39" t="s">
        <v>82</v>
      </c>
      <c r="D39" s="59" t="s">
        <v>120</v>
      </c>
    </row>
    <row r="40" spans="1:4">
      <c r="A40" s="57"/>
      <c r="B40">
        <v>2</v>
      </c>
      <c r="C40" t="s">
        <v>81</v>
      </c>
      <c r="D40" s="59" t="s">
        <v>121</v>
      </c>
    </row>
    <row r="41" spans="1:4">
      <c r="A41" s="57"/>
      <c r="B41">
        <v>2</v>
      </c>
      <c r="C41" t="s">
        <v>82</v>
      </c>
      <c r="D41" s="59" t="s">
        <v>122</v>
      </c>
    </row>
    <row r="42" spans="1:4">
      <c r="A42" s="57"/>
      <c r="B42">
        <v>3</v>
      </c>
      <c r="C42" t="s">
        <v>81</v>
      </c>
      <c r="D42" s="59" t="s">
        <v>123</v>
      </c>
    </row>
    <row r="43" spans="1:4">
      <c r="A43" s="57"/>
      <c r="B43">
        <v>3</v>
      </c>
      <c r="C43" t="s">
        <v>82</v>
      </c>
      <c r="D43" s="59" t="s">
        <v>124</v>
      </c>
    </row>
    <row r="44" spans="1:4">
      <c r="A44" s="57"/>
      <c r="B44">
        <v>4</v>
      </c>
      <c r="C44" t="s">
        <v>81</v>
      </c>
      <c r="D44" s="59" t="s">
        <v>125</v>
      </c>
    </row>
    <row r="45" spans="1:4">
      <c r="A45" s="57"/>
      <c r="B45">
        <v>4</v>
      </c>
      <c r="C45" t="s">
        <v>82</v>
      </c>
      <c r="D45" s="59" t="s">
        <v>126</v>
      </c>
    </row>
    <row r="46" spans="1:4">
      <c r="A46" s="57">
        <v>11</v>
      </c>
      <c r="B46">
        <v>1</v>
      </c>
      <c r="C46" t="s">
        <v>81</v>
      </c>
      <c r="D46" s="58" t="s">
        <v>127</v>
      </c>
    </row>
    <row r="47" spans="1:4">
      <c r="A47" s="57"/>
      <c r="B47">
        <v>1</v>
      </c>
      <c r="C47" t="s">
        <v>82</v>
      </c>
      <c r="D47" s="59" t="s">
        <v>128</v>
      </c>
    </row>
    <row r="48" spans="1:4">
      <c r="A48" s="57"/>
      <c r="B48">
        <v>2</v>
      </c>
      <c r="C48" t="s">
        <v>81</v>
      </c>
      <c r="D48" s="59" t="s">
        <v>129</v>
      </c>
    </row>
    <row r="49" spans="1:4">
      <c r="A49" s="57"/>
      <c r="B49">
        <v>2</v>
      </c>
      <c r="C49" t="s">
        <v>82</v>
      </c>
      <c r="D49" s="59" t="s">
        <v>130</v>
      </c>
    </row>
    <row r="50" spans="1:4">
      <c r="A50" s="57">
        <v>12</v>
      </c>
      <c r="B50">
        <v>1</v>
      </c>
      <c r="C50" t="s">
        <v>81</v>
      </c>
      <c r="D50" s="58" t="s">
        <v>131</v>
      </c>
    </row>
    <row r="51" spans="1:4">
      <c r="A51" s="57"/>
      <c r="B51">
        <v>1</v>
      </c>
      <c r="C51" t="s">
        <v>82</v>
      </c>
      <c r="D51" s="59" t="s">
        <v>132</v>
      </c>
    </row>
    <row r="52" spans="1:4">
      <c r="A52" s="57"/>
      <c r="B52">
        <v>2</v>
      </c>
      <c r="C52" t="s">
        <v>81</v>
      </c>
      <c r="D52" s="59" t="s">
        <v>133</v>
      </c>
    </row>
    <row r="53" spans="1:4">
      <c r="A53" s="57"/>
      <c r="B53">
        <v>2</v>
      </c>
      <c r="C53" t="s">
        <v>82</v>
      </c>
      <c r="D53" s="59" t="s">
        <v>134</v>
      </c>
    </row>
    <row r="54" spans="1:4">
      <c r="A54" s="57"/>
      <c r="B54">
        <v>3</v>
      </c>
      <c r="C54" t="s">
        <v>81</v>
      </c>
      <c r="D54" s="59" t="s">
        <v>135</v>
      </c>
    </row>
    <row r="55" spans="1:4">
      <c r="A55" s="57"/>
      <c r="B55">
        <v>3</v>
      </c>
      <c r="C55" t="s">
        <v>82</v>
      </c>
      <c r="D55" s="59" t="s">
        <v>136</v>
      </c>
    </row>
    <row r="56" spans="1:4">
      <c r="A56" s="57"/>
      <c r="B56">
        <v>4</v>
      </c>
      <c r="C56" t="s">
        <v>81</v>
      </c>
      <c r="D56" s="59" t="s">
        <v>137</v>
      </c>
    </row>
    <row r="57" spans="1:4">
      <c r="A57" s="57"/>
      <c r="B57">
        <v>4</v>
      </c>
      <c r="C57" t="s">
        <v>82</v>
      </c>
      <c r="D57" s="59" t="s">
        <v>138</v>
      </c>
    </row>
    <row r="58" spans="1:4">
      <c r="A58" s="57">
        <v>13</v>
      </c>
      <c r="B58">
        <v>1</v>
      </c>
      <c r="C58" t="s">
        <v>81</v>
      </c>
      <c r="D58" s="58" t="s">
        <v>139</v>
      </c>
    </row>
    <row r="59" spans="1:4">
      <c r="A59" s="57"/>
      <c r="B59">
        <v>1</v>
      </c>
      <c r="C59" t="s">
        <v>82</v>
      </c>
      <c r="D59" s="59" t="s">
        <v>140</v>
      </c>
    </row>
    <row r="60" spans="1:4">
      <c r="A60" s="57"/>
      <c r="B60">
        <v>2</v>
      </c>
      <c r="C60" t="s">
        <v>81</v>
      </c>
      <c r="D60" s="59" t="s">
        <v>141</v>
      </c>
    </row>
    <row r="61" spans="1:4">
      <c r="A61" s="57"/>
      <c r="B61">
        <v>2</v>
      </c>
      <c r="C61" t="s">
        <v>82</v>
      </c>
      <c r="D61" s="59" t="s">
        <v>142</v>
      </c>
    </row>
    <row r="62" spans="1:4">
      <c r="A62" s="57"/>
      <c r="B62">
        <v>3</v>
      </c>
      <c r="C62" t="s">
        <v>81</v>
      </c>
      <c r="D62" s="59" t="s">
        <v>143</v>
      </c>
    </row>
    <row r="63" spans="1:4">
      <c r="A63" s="57"/>
      <c r="B63">
        <v>3</v>
      </c>
      <c r="C63" t="s">
        <v>82</v>
      </c>
      <c r="D63" s="59" t="s">
        <v>144</v>
      </c>
    </row>
    <row r="64" spans="1:4">
      <c r="A64" s="57"/>
      <c r="B64">
        <v>4</v>
      </c>
      <c r="C64" t="s">
        <v>81</v>
      </c>
      <c r="D64" s="59" t="s">
        <v>145</v>
      </c>
    </row>
    <row r="65" spans="1:4">
      <c r="A65" s="57"/>
      <c r="B65">
        <v>4</v>
      </c>
      <c r="C65" t="s">
        <v>82</v>
      </c>
      <c r="D65" s="59" t="s">
        <v>146</v>
      </c>
    </row>
    <row r="66" spans="1:4">
      <c r="A66" s="57">
        <v>14</v>
      </c>
      <c r="B66">
        <v>1</v>
      </c>
      <c r="C66" t="s">
        <v>81</v>
      </c>
      <c r="D66" s="58" t="s">
        <v>147</v>
      </c>
    </row>
    <row r="67" spans="1:4">
      <c r="A67" s="57"/>
      <c r="B67">
        <v>1</v>
      </c>
      <c r="C67" t="s">
        <v>82</v>
      </c>
      <c r="D67" s="59" t="s">
        <v>148</v>
      </c>
    </row>
    <row r="68" spans="1:4">
      <c r="A68" s="57"/>
      <c r="B68">
        <v>2</v>
      </c>
      <c r="C68" t="s">
        <v>81</v>
      </c>
      <c r="D68" s="59" t="s">
        <v>149</v>
      </c>
    </row>
    <row r="69" spans="1:4">
      <c r="A69" s="57"/>
      <c r="B69">
        <v>2</v>
      </c>
      <c r="C69" t="s">
        <v>82</v>
      </c>
      <c r="D69" s="59" t="s">
        <v>150</v>
      </c>
    </row>
    <row r="70" spans="1:4">
      <c r="A70" s="57">
        <v>15</v>
      </c>
      <c r="B70">
        <v>1</v>
      </c>
      <c r="C70" t="s">
        <v>81</v>
      </c>
      <c r="D70" s="58" t="s">
        <v>151</v>
      </c>
    </row>
    <row r="71" spans="1:4">
      <c r="A71" s="57"/>
      <c r="B71">
        <v>1</v>
      </c>
      <c r="C71" t="s">
        <v>82</v>
      </c>
      <c r="D71" s="59" t="s">
        <v>152</v>
      </c>
    </row>
    <row r="72" spans="1:4">
      <c r="A72" s="57"/>
      <c r="B72">
        <v>2</v>
      </c>
      <c r="C72" t="s">
        <v>81</v>
      </c>
      <c r="D72" s="59" t="s">
        <v>153</v>
      </c>
    </row>
    <row r="73" spans="1:4">
      <c r="A73" s="57"/>
      <c r="B73">
        <v>2</v>
      </c>
      <c r="C73" t="s">
        <v>82</v>
      </c>
      <c r="D73" s="59" t="s">
        <v>154</v>
      </c>
    </row>
    <row r="74" spans="1:4">
      <c r="A74" s="57"/>
      <c r="B74">
        <v>3</v>
      </c>
      <c r="C74" t="s">
        <v>81</v>
      </c>
      <c r="D74" s="59" t="s">
        <v>155</v>
      </c>
    </row>
    <row r="75" spans="1:4">
      <c r="A75" s="57"/>
      <c r="B75">
        <v>3</v>
      </c>
      <c r="C75" t="s">
        <v>82</v>
      </c>
      <c r="D75" s="59" t="s">
        <v>156</v>
      </c>
    </row>
    <row r="76" spans="1:4">
      <c r="A76" s="57"/>
      <c r="B76">
        <v>4</v>
      </c>
      <c r="C76" t="s">
        <v>81</v>
      </c>
      <c r="D76" s="59" t="s">
        <v>157</v>
      </c>
    </row>
    <row r="77" spans="1:4">
      <c r="A77" s="57"/>
      <c r="B77">
        <v>4</v>
      </c>
      <c r="C77" t="s">
        <v>82</v>
      </c>
      <c r="D77" s="59" t="s">
        <v>158</v>
      </c>
    </row>
    <row r="78" spans="1:4">
      <c r="A78" s="57">
        <v>16</v>
      </c>
      <c r="B78">
        <v>1</v>
      </c>
      <c r="C78" t="s">
        <v>81</v>
      </c>
      <c r="D78" s="58" t="s">
        <v>159</v>
      </c>
    </row>
    <row r="79" spans="1:4">
      <c r="A79" s="57"/>
      <c r="B79">
        <v>1</v>
      </c>
      <c r="C79" t="s">
        <v>82</v>
      </c>
      <c r="D79" s="59" t="s">
        <v>160</v>
      </c>
    </row>
    <row r="80" spans="1:4">
      <c r="A80" s="57"/>
      <c r="B80">
        <v>2</v>
      </c>
      <c r="C80" t="s">
        <v>81</v>
      </c>
      <c r="D80" s="59" t="s">
        <v>161</v>
      </c>
    </row>
    <row r="81" spans="1:4">
      <c r="A81" s="57"/>
      <c r="B81">
        <v>2</v>
      </c>
      <c r="C81" t="s">
        <v>82</v>
      </c>
      <c r="D81" s="59" t="s">
        <v>162</v>
      </c>
    </row>
    <row r="82" spans="1:4">
      <c r="A82" s="57"/>
      <c r="B82">
        <v>3</v>
      </c>
      <c r="C82" t="s">
        <v>81</v>
      </c>
      <c r="D82" s="59" t="s">
        <v>163</v>
      </c>
    </row>
    <row r="83" spans="1:4">
      <c r="A83" s="57"/>
      <c r="B83">
        <v>3</v>
      </c>
      <c r="C83" t="s">
        <v>82</v>
      </c>
      <c r="D83" s="59" t="s">
        <v>164</v>
      </c>
    </row>
    <row r="84" spans="1:4">
      <c r="A84" s="57"/>
      <c r="B84">
        <v>4</v>
      </c>
      <c r="C84" t="s">
        <v>81</v>
      </c>
      <c r="D84" s="59" t="s">
        <v>165</v>
      </c>
    </row>
    <row r="85" spans="1:4">
      <c r="A85" s="57"/>
      <c r="B85">
        <v>4</v>
      </c>
      <c r="C85" t="s">
        <v>82</v>
      </c>
      <c r="D85" s="59" t="s">
        <v>166</v>
      </c>
    </row>
    <row r="86" spans="1:4">
      <c r="A86" s="57">
        <v>18</v>
      </c>
      <c r="B86">
        <v>1</v>
      </c>
      <c r="C86" t="s">
        <v>81</v>
      </c>
      <c r="D86" s="58" t="s">
        <v>167</v>
      </c>
    </row>
    <row r="87" spans="1:4">
      <c r="A87" s="57"/>
      <c r="B87">
        <v>1</v>
      </c>
      <c r="C87" t="s">
        <v>82</v>
      </c>
      <c r="D87" s="59" t="s">
        <v>168</v>
      </c>
    </row>
    <row r="88" spans="1:4">
      <c r="A88" s="57"/>
      <c r="B88">
        <v>2</v>
      </c>
      <c r="C88" t="s">
        <v>81</v>
      </c>
      <c r="D88" s="59" t="s">
        <v>169</v>
      </c>
    </row>
    <row r="89" spans="1:4">
      <c r="A89" s="57"/>
      <c r="B89">
        <v>2</v>
      </c>
      <c r="C89" t="s">
        <v>82</v>
      </c>
      <c r="D89" s="59" t="s">
        <v>170</v>
      </c>
    </row>
    <row r="90" spans="1:4">
      <c r="A90" s="57">
        <v>19</v>
      </c>
      <c r="B90">
        <v>1</v>
      </c>
      <c r="C90" t="s">
        <v>81</v>
      </c>
      <c r="D90" s="58" t="s">
        <v>171</v>
      </c>
    </row>
    <row r="91" spans="1:4">
      <c r="A91" s="57"/>
      <c r="B91">
        <v>1</v>
      </c>
      <c r="C91" t="s">
        <v>82</v>
      </c>
      <c r="D91" s="59" t="s">
        <v>172</v>
      </c>
    </row>
    <row r="92" spans="1:4">
      <c r="A92" s="57"/>
      <c r="B92">
        <v>2</v>
      </c>
      <c r="C92" t="s">
        <v>81</v>
      </c>
      <c r="D92" s="59" t="s">
        <v>173</v>
      </c>
    </row>
    <row r="93" spans="1:4">
      <c r="A93" s="57"/>
      <c r="B93">
        <v>2</v>
      </c>
      <c r="C93" t="s">
        <v>82</v>
      </c>
      <c r="D93" s="59" t="s">
        <v>174</v>
      </c>
    </row>
    <row r="94" spans="1:4">
      <c r="A94" s="57">
        <v>20</v>
      </c>
      <c r="B94">
        <v>1</v>
      </c>
      <c r="C94" t="s">
        <v>81</v>
      </c>
      <c r="D94" s="58" t="s">
        <v>175</v>
      </c>
    </row>
    <row r="95" spans="1:4">
      <c r="A95" s="57"/>
      <c r="B95">
        <v>1</v>
      </c>
      <c r="C95" t="s">
        <v>82</v>
      </c>
      <c r="D95" s="59" t="s">
        <v>176</v>
      </c>
    </row>
    <row r="96" spans="1:4">
      <c r="A96" s="57"/>
      <c r="B96">
        <v>2</v>
      </c>
      <c r="C96" t="s">
        <v>81</v>
      </c>
      <c r="D96" s="59" t="s">
        <v>177</v>
      </c>
    </row>
    <row r="97" spans="1:4">
      <c r="A97" s="57"/>
      <c r="B97">
        <v>2</v>
      </c>
      <c r="C97" t="s">
        <v>82</v>
      </c>
      <c r="D97" s="59" t="s">
        <v>178</v>
      </c>
    </row>
    <row r="98" spans="1:4">
      <c r="A98" s="57"/>
      <c r="B98">
        <v>3</v>
      </c>
      <c r="C98" t="s">
        <v>81</v>
      </c>
      <c r="D98" s="59" t="s">
        <v>179</v>
      </c>
    </row>
    <row r="99" spans="1:4">
      <c r="A99" s="57"/>
      <c r="B99">
        <v>3</v>
      </c>
      <c r="C99" t="s">
        <v>82</v>
      </c>
      <c r="D99" s="59" t="s">
        <v>180</v>
      </c>
    </row>
    <row r="100" spans="1:4">
      <c r="A100" s="57"/>
      <c r="B100">
        <v>4</v>
      </c>
      <c r="C100" t="s">
        <v>81</v>
      </c>
      <c r="D100" s="59" t="s">
        <v>181</v>
      </c>
    </row>
    <row r="101" spans="1:4">
      <c r="A101" s="57"/>
      <c r="B101">
        <v>4</v>
      </c>
      <c r="C101" t="s">
        <v>82</v>
      </c>
      <c r="D101" s="59" t="s">
        <v>182</v>
      </c>
    </row>
    <row r="102" spans="1:4">
      <c r="A102" s="57">
        <v>21</v>
      </c>
      <c r="B102">
        <v>1</v>
      </c>
      <c r="C102" t="s">
        <v>81</v>
      </c>
      <c r="D102" s="58" t="s">
        <v>183</v>
      </c>
    </row>
    <row r="103" spans="1:4">
      <c r="A103" s="57"/>
      <c r="B103">
        <v>1</v>
      </c>
      <c r="C103" t="s">
        <v>82</v>
      </c>
      <c r="D103" s="59" t="s">
        <v>184</v>
      </c>
    </row>
    <row r="104" spans="1:4">
      <c r="A104" s="57"/>
      <c r="B104">
        <v>2</v>
      </c>
      <c r="C104" t="s">
        <v>81</v>
      </c>
      <c r="D104" s="59" t="s">
        <v>185</v>
      </c>
    </row>
    <row r="105" spans="1:4">
      <c r="A105" s="57"/>
      <c r="B105">
        <v>2</v>
      </c>
      <c r="C105" t="s">
        <v>82</v>
      </c>
      <c r="D105" s="59" t="s">
        <v>186</v>
      </c>
    </row>
    <row r="106" spans="1:4">
      <c r="A106" s="57">
        <v>22</v>
      </c>
      <c r="B106">
        <v>1</v>
      </c>
      <c r="C106" t="s">
        <v>81</v>
      </c>
      <c r="D106" s="58" t="s">
        <v>187</v>
      </c>
    </row>
    <row r="107" spans="1:4">
      <c r="A107" s="57"/>
      <c r="B107">
        <v>1</v>
      </c>
      <c r="C107" t="s">
        <v>82</v>
      </c>
      <c r="D107" s="59" t="s">
        <v>188</v>
      </c>
    </row>
    <row r="108" spans="1:4">
      <c r="A108" s="57"/>
      <c r="B108">
        <v>2</v>
      </c>
      <c r="C108" t="s">
        <v>81</v>
      </c>
      <c r="D108" s="59" t="s">
        <v>189</v>
      </c>
    </row>
    <row r="109" spans="1:4">
      <c r="A109" s="57"/>
      <c r="B109">
        <v>2</v>
      </c>
      <c r="C109" t="s">
        <v>82</v>
      </c>
      <c r="D109" s="59" t="s">
        <v>190</v>
      </c>
    </row>
    <row r="110" spans="1:4">
      <c r="A110" s="57">
        <v>23</v>
      </c>
      <c r="B110">
        <v>1</v>
      </c>
      <c r="C110" t="s">
        <v>81</v>
      </c>
      <c r="D110" s="58" t="s">
        <v>191</v>
      </c>
    </row>
    <row r="111" spans="1:4">
      <c r="A111" s="57"/>
      <c r="B111">
        <v>1</v>
      </c>
      <c r="C111" t="s">
        <v>82</v>
      </c>
      <c r="D111" s="59" t="s">
        <v>192</v>
      </c>
    </row>
    <row r="112" spans="1:4">
      <c r="A112" s="57"/>
      <c r="B112">
        <v>2</v>
      </c>
      <c r="C112" t="s">
        <v>81</v>
      </c>
      <c r="D112" s="59" t="s">
        <v>193</v>
      </c>
    </row>
    <row r="113" spans="1:4">
      <c r="A113" s="57"/>
      <c r="B113">
        <v>2</v>
      </c>
      <c r="C113" t="s">
        <v>82</v>
      </c>
      <c r="D113" s="59" t="s">
        <v>194</v>
      </c>
    </row>
    <row r="114" spans="1:4">
      <c r="A114" s="57"/>
      <c r="B114">
        <v>3</v>
      </c>
      <c r="C114" t="s">
        <v>81</v>
      </c>
      <c r="D114" s="59" t="s">
        <v>195</v>
      </c>
    </row>
    <row r="115" spans="1:4">
      <c r="A115" s="57"/>
      <c r="B115">
        <v>3</v>
      </c>
      <c r="C115" t="s">
        <v>82</v>
      </c>
      <c r="D115" s="59" t="s">
        <v>196</v>
      </c>
    </row>
    <row r="116" spans="1:4">
      <c r="A116" s="57"/>
      <c r="B116">
        <v>4</v>
      </c>
      <c r="C116" t="s">
        <v>81</v>
      </c>
      <c r="D116" s="59" t="s">
        <v>197</v>
      </c>
    </row>
    <row r="117" spans="1:4">
      <c r="A117" s="57"/>
      <c r="B117">
        <v>4</v>
      </c>
      <c r="C117" t="s">
        <v>82</v>
      </c>
      <c r="D117" s="59" t="s">
        <v>198</v>
      </c>
    </row>
    <row r="118" spans="1:4">
      <c r="A118" s="57">
        <v>24</v>
      </c>
      <c r="B118">
        <v>1</v>
      </c>
      <c r="C118" t="s">
        <v>81</v>
      </c>
      <c r="D118" s="58" t="s">
        <v>199</v>
      </c>
    </row>
    <row r="119" spans="1:4">
      <c r="A119" s="57"/>
      <c r="B119">
        <v>1</v>
      </c>
      <c r="C119" t="s">
        <v>82</v>
      </c>
      <c r="D119" s="59" t="s">
        <v>200</v>
      </c>
    </row>
    <row r="120" spans="1:4">
      <c r="A120" s="57"/>
      <c r="B120">
        <v>2</v>
      </c>
      <c r="C120" t="s">
        <v>81</v>
      </c>
      <c r="D120" s="59" t="s">
        <v>201</v>
      </c>
    </row>
    <row r="121" spans="1:4">
      <c r="A121" s="57"/>
      <c r="B121">
        <v>2</v>
      </c>
      <c r="C121" t="s">
        <v>82</v>
      </c>
      <c r="D121" s="59" t="s">
        <v>202</v>
      </c>
    </row>
    <row r="122" spans="1:4">
      <c r="A122" s="57">
        <v>26</v>
      </c>
      <c r="B122">
        <v>1</v>
      </c>
      <c r="C122" t="s">
        <v>81</v>
      </c>
      <c r="D122" s="58" t="s">
        <v>203</v>
      </c>
    </row>
    <row r="123" spans="1:4">
      <c r="A123" s="57"/>
      <c r="B123">
        <v>1</v>
      </c>
      <c r="C123" t="s">
        <v>82</v>
      </c>
      <c r="D123" s="59" t="s">
        <v>204</v>
      </c>
    </row>
    <row r="124" spans="1:4">
      <c r="A124" s="57"/>
      <c r="B124">
        <v>2</v>
      </c>
      <c r="C124" t="s">
        <v>81</v>
      </c>
      <c r="D124" s="59" t="s">
        <v>205</v>
      </c>
    </row>
    <row r="125" spans="1:4">
      <c r="A125" s="57"/>
      <c r="B125">
        <v>2</v>
      </c>
      <c r="C125" t="s">
        <v>82</v>
      </c>
      <c r="D125" s="59" t="s">
        <v>206</v>
      </c>
    </row>
    <row r="126" spans="1:4">
      <c r="A126" s="57"/>
      <c r="B126">
        <v>3</v>
      </c>
      <c r="C126" t="s">
        <v>81</v>
      </c>
      <c r="D126" s="59" t="s">
        <v>207</v>
      </c>
    </row>
    <row r="127" spans="1:4">
      <c r="A127" s="57"/>
      <c r="B127">
        <v>3</v>
      </c>
      <c r="C127" t="s">
        <v>82</v>
      </c>
      <c r="D127" s="59" t="s">
        <v>208</v>
      </c>
    </row>
    <row r="128" spans="1:4">
      <c r="A128" s="57"/>
      <c r="B128">
        <v>4</v>
      </c>
      <c r="C128" t="s">
        <v>81</v>
      </c>
      <c r="D128" s="59" t="s">
        <v>209</v>
      </c>
    </row>
    <row r="129" spans="1:4">
      <c r="A129" s="57"/>
      <c r="B129">
        <v>4</v>
      </c>
      <c r="C129" t="s">
        <v>82</v>
      </c>
      <c r="D129" s="59" t="s">
        <v>210</v>
      </c>
    </row>
    <row r="130" spans="1:4">
      <c r="A130" s="57">
        <v>27</v>
      </c>
      <c r="B130">
        <v>1</v>
      </c>
      <c r="C130" t="s">
        <v>81</v>
      </c>
      <c r="D130" s="58" t="s">
        <v>211</v>
      </c>
    </row>
    <row r="131" spans="1:4">
      <c r="A131" s="57"/>
      <c r="B131">
        <v>1</v>
      </c>
      <c r="C131" t="s">
        <v>82</v>
      </c>
      <c r="D131" s="59" t="s">
        <v>212</v>
      </c>
    </row>
    <row r="132" spans="1:4">
      <c r="A132" s="57"/>
      <c r="B132">
        <v>2</v>
      </c>
      <c r="C132" t="s">
        <v>81</v>
      </c>
      <c r="D132" s="59" t="s">
        <v>213</v>
      </c>
    </row>
    <row r="133" spans="1:4">
      <c r="A133" s="57"/>
      <c r="B133">
        <v>2</v>
      </c>
      <c r="C133" t="s">
        <v>82</v>
      </c>
      <c r="D133" s="59" t="s">
        <v>214</v>
      </c>
    </row>
    <row r="134" spans="1:4">
      <c r="A134" s="57"/>
      <c r="B134">
        <v>3</v>
      </c>
      <c r="C134" t="s">
        <v>81</v>
      </c>
      <c r="D134" s="59" t="s">
        <v>215</v>
      </c>
    </row>
    <row r="135" spans="1:4">
      <c r="A135" s="57"/>
      <c r="B135">
        <v>3</v>
      </c>
      <c r="C135" t="s">
        <v>82</v>
      </c>
      <c r="D135" s="59" t="s">
        <v>216</v>
      </c>
    </row>
    <row r="136" spans="1:4">
      <c r="A136" s="57"/>
      <c r="B136">
        <v>4</v>
      </c>
      <c r="C136" t="s">
        <v>81</v>
      </c>
      <c r="D136" s="59" t="s">
        <v>217</v>
      </c>
    </row>
    <row r="137" spans="1:4">
      <c r="A137" s="57"/>
      <c r="B137">
        <v>4</v>
      </c>
      <c r="C137" t="s">
        <v>82</v>
      </c>
      <c r="D137" s="59" t="s">
        <v>218</v>
      </c>
    </row>
    <row r="138" spans="1:4">
      <c r="A138" s="57">
        <v>28</v>
      </c>
      <c r="B138">
        <v>1</v>
      </c>
      <c r="C138" t="s">
        <v>81</v>
      </c>
      <c r="D138" s="58" t="s">
        <v>219</v>
      </c>
    </row>
    <row r="139" spans="1:4">
      <c r="A139" s="57"/>
      <c r="B139">
        <v>1</v>
      </c>
      <c r="C139" t="s">
        <v>82</v>
      </c>
      <c r="D139" s="59" t="s">
        <v>220</v>
      </c>
    </row>
    <row r="140" spans="1:4">
      <c r="A140" s="57"/>
      <c r="B140">
        <v>2</v>
      </c>
      <c r="C140" t="s">
        <v>81</v>
      </c>
      <c r="D140" s="59" t="s">
        <v>221</v>
      </c>
    </row>
    <row r="141" spans="1:4">
      <c r="A141" s="57"/>
      <c r="B141">
        <v>2</v>
      </c>
      <c r="C141" t="s">
        <v>82</v>
      </c>
      <c r="D141" s="59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5"/>
  <sheetViews>
    <sheetView topLeftCell="X1" workbookViewId="0">
      <selection activeCell="AH1" sqref="AH1"/>
    </sheetView>
  </sheetViews>
  <sheetFormatPr baseColWidth="10" defaultRowHeight="16"/>
  <cols>
    <col min="8" max="8" width="13.33203125" customWidth="1"/>
    <col min="9" max="9" width="19" customWidth="1"/>
    <col min="10" max="10" width="25.33203125" customWidth="1"/>
    <col min="11" max="11" width="20.33203125" customWidth="1"/>
    <col min="12" max="12" width="26" customWidth="1"/>
    <col min="13" max="13" width="18.6640625" customWidth="1"/>
    <col min="14" max="14" width="26" customWidth="1"/>
    <col min="15" max="15" width="18.6640625" customWidth="1"/>
    <col min="16" max="16" width="27" customWidth="1"/>
    <col min="17" max="17" width="21" customWidth="1"/>
    <col min="18" max="18" width="31" customWidth="1"/>
    <col min="19" max="19" width="33.1640625" customWidth="1"/>
    <col min="20" max="20" width="32.83203125" customWidth="1"/>
    <col min="21" max="21" width="33.5" customWidth="1"/>
    <col min="22" max="22" width="32" bestFit="1" customWidth="1"/>
    <col min="23" max="23" width="34.5" customWidth="1"/>
    <col min="24" max="24" width="32.5" customWidth="1"/>
    <col min="25" max="25" width="34" customWidth="1"/>
    <col min="26" max="26" width="23.6640625" customWidth="1"/>
    <col min="27" max="27" width="24" customWidth="1"/>
    <col min="28" max="28" width="25" customWidth="1"/>
    <col min="29" max="29" width="24.5" customWidth="1"/>
    <col min="30" max="30" width="25.1640625" bestFit="1" customWidth="1"/>
    <col min="31" max="31" width="25.83203125" bestFit="1" customWidth="1"/>
    <col min="32" max="32" width="26.1640625" bestFit="1" customWidth="1"/>
    <col min="33" max="33" width="26.83203125" bestFit="1" customWidth="1"/>
  </cols>
  <sheetData>
    <row r="1" spans="1:33" ht="20" thickBot="1">
      <c r="A1" s="1" t="s">
        <v>0</v>
      </c>
      <c r="B1" s="1" t="s">
        <v>1</v>
      </c>
      <c r="C1" s="5" t="s">
        <v>5</v>
      </c>
      <c r="D1" s="5" t="s">
        <v>9</v>
      </c>
      <c r="E1" s="5" t="s">
        <v>10</v>
      </c>
      <c r="F1" s="5" t="s">
        <v>11</v>
      </c>
      <c r="G1" s="5" t="s">
        <v>4</v>
      </c>
      <c r="H1" s="5" t="s">
        <v>12</v>
      </c>
      <c r="I1" s="5" t="s">
        <v>13</v>
      </c>
      <c r="J1" s="5" t="s">
        <v>16</v>
      </c>
      <c r="K1" s="5" t="s">
        <v>14</v>
      </c>
      <c r="L1" s="5" t="s">
        <v>17</v>
      </c>
      <c r="M1" s="5" t="s">
        <v>14</v>
      </c>
      <c r="N1" s="5" t="s">
        <v>18</v>
      </c>
      <c r="O1" s="5" t="s">
        <v>14</v>
      </c>
      <c r="P1" s="5" t="s">
        <v>19</v>
      </c>
      <c r="Q1" s="5" t="s">
        <v>15</v>
      </c>
      <c r="R1" s="5" t="s">
        <v>23</v>
      </c>
      <c r="S1" s="5" t="s">
        <v>20</v>
      </c>
      <c r="T1" s="5" t="s">
        <v>21</v>
      </c>
      <c r="U1" s="5" t="s">
        <v>22</v>
      </c>
      <c r="V1" s="5" t="s">
        <v>45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34</v>
      </c>
      <c r="AE1" s="5" t="s">
        <v>33</v>
      </c>
      <c r="AF1" s="5" t="s">
        <v>32</v>
      </c>
      <c r="AG1" s="5" t="s">
        <v>31</v>
      </c>
    </row>
    <row r="2" spans="1:33" ht="17" thickTop="1">
      <c r="A2" s="2">
        <v>9</v>
      </c>
      <c r="B2" s="18" t="s">
        <v>2</v>
      </c>
      <c r="C2" s="19" t="s">
        <v>6</v>
      </c>
      <c r="D2" s="19">
        <v>23</v>
      </c>
      <c r="E2" s="19">
        <v>176</v>
      </c>
      <c r="F2" s="20">
        <v>88</v>
      </c>
      <c r="G2" s="20">
        <f t="shared" ref="G2:G12" si="0">F2/((E2/100)*(E2/100))</f>
        <v>28.40909090909091</v>
      </c>
      <c r="H2" s="19">
        <v>3.16</v>
      </c>
      <c r="I2" s="19">
        <v>35.9</v>
      </c>
      <c r="J2" s="19">
        <v>55</v>
      </c>
      <c r="K2" s="19">
        <v>5.16</v>
      </c>
      <c r="L2" s="19">
        <v>50</v>
      </c>
      <c r="M2" s="19">
        <v>4.53</v>
      </c>
      <c r="N2" s="19">
        <v>60</v>
      </c>
      <c r="O2" s="21">
        <v>5.3</v>
      </c>
      <c r="P2" s="19">
        <v>50</v>
      </c>
      <c r="Q2" s="21">
        <v>4.4000000000000004</v>
      </c>
      <c r="R2" s="19">
        <v>24.7</v>
      </c>
      <c r="S2" s="19">
        <v>371</v>
      </c>
      <c r="T2" s="19">
        <v>25.4</v>
      </c>
      <c r="U2" s="19">
        <v>381</v>
      </c>
      <c r="V2" s="19">
        <v>33.1</v>
      </c>
      <c r="W2" s="19">
        <v>497</v>
      </c>
      <c r="X2" s="19">
        <v>27.1</v>
      </c>
      <c r="Y2" s="19">
        <v>406</v>
      </c>
      <c r="Z2" s="22">
        <v>17.110953320184091</v>
      </c>
      <c r="AA2" s="22">
        <v>14.48110453648915</v>
      </c>
      <c r="AB2" s="22">
        <v>25.526469428007889</v>
      </c>
      <c r="AC2" s="22">
        <v>10.799316239316239</v>
      </c>
      <c r="AD2" s="49">
        <v>28.063901936349694</v>
      </c>
      <c r="AE2" s="50">
        <v>28.663020034509202</v>
      </c>
      <c r="AF2" s="50">
        <v>31.059492427147241</v>
      </c>
      <c r="AG2" s="51">
        <v>18.616765720858897</v>
      </c>
    </row>
    <row r="3" spans="1:33">
      <c r="A3" s="3">
        <v>11</v>
      </c>
      <c r="B3" s="7" t="s">
        <v>2</v>
      </c>
      <c r="C3" s="8" t="s">
        <v>6</v>
      </c>
      <c r="D3" s="8">
        <v>25</v>
      </c>
      <c r="E3" s="8">
        <v>172</v>
      </c>
      <c r="F3" s="9">
        <v>73</v>
      </c>
      <c r="G3" s="9">
        <f t="shared" si="0"/>
        <v>24.675500270416443</v>
      </c>
      <c r="H3" s="8">
        <v>2.96</v>
      </c>
      <c r="I3" s="8">
        <v>40.5</v>
      </c>
      <c r="J3" s="8">
        <v>58</v>
      </c>
      <c r="K3" s="10">
        <v>9.3000000000000007</v>
      </c>
      <c r="L3" s="8">
        <v>55</v>
      </c>
      <c r="M3" s="8">
        <v>9.25</v>
      </c>
      <c r="N3" s="8">
        <v>58</v>
      </c>
      <c r="O3" s="10">
        <v>9.3000000000000007</v>
      </c>
      <c r="P3" s="8">
        <v>55</v>
      </c>
      <c r="Q3" s="10">
        <v>9</v>
      </c>
      <c r="R3" s="8">
        <v>34.700000000000003</v>
      </c>
      <c r="S3" s="8">
        <v>521</v>
      </c>
      <c r="T3" s="8">
        <v>35.299999999999997</v>
      </c>
      <c r="U3" s="8">
        <v>530</v>
      </c>
      <c r="V3" s="8">
        <v>41.9</v>
      </c>
      <c r="W3" s="8">
        <v>628</v>
      </c>
      <c r="X3" s="8">
        <v>33.1</v>
      </c>
      <c r="Y3" s="8">
        <v>496</v>
      </c>
      <c r="Z3" s="11">
        <v>24.948886729477373</v>
      </c>
      <c r="AA3" s="11">
        <v>16.610080696269382</v>
      </c>
      <c r="AB3" s="11">
        <v>30.525801681524356</v>
      </c>
      <c r="AC3" s="11">
        <v>21.680003379948452</v>
      </c>
      <c r="AD3" s="52">
        <v>30.460374328987733</v>
      </c>
      <c r="AE3" s="32">
        <v>32.593257888749172</v>
      </c>
      <c r="AF3" s="32">
        <v>33.455964819785279</v>
      </c>
      <c r="AG3" s="53">
        <v>34.923357882761508</v>
      </c>
    </row>
    <row r="4" spans="1:33">
      <c r="A4" s="3">
        <v>15</v>
      </c>
      <c r="B4" s="7" t="s">
        <v>2</v>
      </c>
      <c r="C4" s="8" t="s">
        <v>7</v>
      </c>
      <c r="D4" s="8">
        <v>25</v>
      </c>
      <c r="E4" s="8">
        <v>170</v>
      </c>
      <c r="F4" s="9">
        <v>67.25</v>
      </c>
      <c r="G4" s="9">
        <f t="shared" si="0"/>
        <v>23.269896193771629</v>
      </c>
      <c r="H4" s="8">
        <v>2.92</v>
      </c>
      <c r="I4" s="8">
        <v>43.5</v>
      </c>
      <c r="J4" s="8">
        <v>52</v>
      </c>
      <c r="K4" s="8">
        <v>8.5299999999999994</v>
      </c>
      <c r="L4" s="8">
        <v>43</v>
      </c>
      <c r="M4" s="8">
        <v>7.25</v>
      </c>
      <c r="N4" s="8">
        <v>55</v>
      </c>
      <c r="O4" s="10">
        <v>9.1999999999999993</v>
      </c>
      <c r="P4" s="8">
        <v>43</v>
      </c>
      <c r="Q4" s="10">
        <v>7.3</v>
      </c>
      <c r="R4" s="8">
        <v>25.9</v>
      </c>
      <c r="S4" s="8">
        <v>388</v>
      </c>
      <c r="T4" s="8">
        <v>25.5</v>
      </c>
      <c r="U4" s="8">
        <v>382</v>
      </c>
      <c r="V4" s="8">
        <v>35.5</v>
      </c>
      <c r="W4" s="8">
        <v>533</v>
      </c>
      <c r="X4" s="8">
        <v>26.8</v>
      </c>
      <c r="Y4" s="8">
        <v>402</v>
      </c>
      <c r="Z4" s="11">
        <v>15.670104926195979</v>
      </c>
      <c r="AA4" s="11">
        <v>12.468966743731103</v>
      </c>
      <c r="AB4" s="11">
        <v>41.279210385915</v>
      </c>
      <c r="AC4" s="11">
        <v>24.206473412768979</v>
      </c>
      <c r="AD4" s="52">
        <v>25.941859768876114</v>
      </c>
      <c r="AE4" s="32">
        <v>32.593257888749179</v>
      </c>
      <c r="AF4" s="32">
        <v>42.57270023751073</v>
      </c>
      <c r="AG4" s="53">
        <v>37.582979063129955</v>
      </c>
    </row>
    <row r="5" spans="1:33">
      <c r="A5" s="3">
        <v>16</v>
      </c>
      <c r="B5" s="7" t="s">
        <v>2</v>
      </c>
      <c r="C5" s="8" t="s">
        <v>6</v>
      </c>
      <c r="D5" s="8">
        <v>22</v>
      </c>
      <c r="E5" s="8">
        <v>165</v>
      </c>
      <c r="F5" s="9">
        <v>59.4</v>
      </c>
      <c r="G5" s="9">
        <f t="shared" si="0"/>
        <v>21.81818181818182</v>
      </c>
      <c r="H5" s="8">
        <v>2.2799999999999998</v>
      </c>
      <c r="I5" s="8">
        <v>38.700000000000003</v>
      </c>
      <c r="J5" s="8">
        <v>43</v>
      </c>
      <c r="K5" s="8">
        <v>7.19</v>
      </c>
      <c r="L5" s="8">
        <v>40</v>
      </c>
      <c r="M5" s="10">
        <v>6.3</v>
      </c>
      <c r="N5" s="8">
        <v>52</v>
      </c>
      <c r="O5" s="10">
        <v>8.3000000000000007</v>
      </c>
      <c r="P5" s="8">
        <v>34</v>
      </c>
      <c r="Q5" s="10">
        <v>5.5</v>
      </c>
      <c r="R5" s="8">
        <v>24.1</v>
      </c>
      <c r="S5" s="8">
        <v>361</v>
      </c>
      <c r="T5" s="8">
        <v>22.1</v>
      </c>
      <c r="U5" s="8">
        <v>332</v>
      </c>
      <c r="V5" s="8">
        <v>33</v>
      </c>
      <c r="W5" s="8">
        <v>495</v>
      </c>
      <c r="X5" s="8">
        <v>22.5</v>
      </c>
      <c r="Y5" s="8">
        <v>338</v>
      </c>
      <c r="Z5" s="11">
        <v>19.404766139071665</v>
      </c>
      <c r="AA5" s="11">
        <v>30.608749777698733</v>
      </c>
      <c r="AB5" s="11">
        <v>27.40761159523386</v>
      </c>
      <c r="AC5" s="11">
        <v>21.538858260714917</v>
      </c>
      <c r="AD5" s="52">
        <v>39.414106939704212</v>
      </c>
      <c r="AE5" s="32">
        <v>40.162565115861327</v>
      </c>
      <c r="AF5" s="32">
        <v>40.576811767758414</v>
      </c>
      <c r="AG5" s="53">
        <v>31.181067001975926</v>
      </c>
    </row>
    <row r="6" spans="1:33">
      <c r="A6" s="3">
        <v>18</v>
      </c>
      <c r="B6" s="7" t="s">
        <v>2</v>
      </c>
      <c r="C6" s="8" t="s">
        <v>6</v>
      </c>
      <c r="D6" s="8">
        <v>24</v>
      </c>
      <c r="E6" s="8">
        <v>175</v>
      </c>
      <c r="F6" s="9">
        <v>62.5</v>
      </c>
      <c r="G6" s="9">
        <f t="shared" si="0"/>
        <v>20.408163265306122</v>
      </c>
      <c r="H6" s="8">
        <v>2.79</v>
      </c>
      <c r="I6" s="8">
        <v>44.7</v>
      </c>
      <c r="J6" s="8">
        <v>43</v>
      </c>
      <c r="K6" s="8">
        <v>7.29</v>
      </c>
      <c r="L6" s="8">
        <v>43</v>
      </c>
      <c r="M6" s="8">
        <v>7.26</v>
      </c>
      <c r="N6" s="8">
        <v>61</v>
      </c>
      <c r="O6" s="8">
        <v>10.11</v>
      </c>
      <c r="P6" s="8">
        <v>49</v>
      </c>
      <c r="Q6" s="8">
        <v>8.08</v>
      </c>
      <c r="R6" s="8">
        <v>27.2</v>
      </c>
      <c r="S6" s="8">
        <v>408</v>
      </c>
      <c r="T6" s="8">
        <v>24.7</v>
      </c>
      <c r="U6" s="8">
        <v>370</v>
      </c>
      <c r="V6" s="8">
        <v>38</v>
      </c>
      <c r="W6" s="8">
        <v>570</v>
      </c>
      <c r="X6" s="8">
        <v>30.3</v>
      </c>
      <c r="Y6" s="8">
        <v>455</v>
      </c>
      <c r="Z6" s="11">
        <v>30.552368076386834</v>
      </c>
      <c r="AA6" s="11">
        <v>33.5677552917318</v>
      </c>
      <c r="AB6" s="11">
        <v>29.284887405467064</v>
      </c>
      <c r="AC6" s="11">
        <v>25.962871266213192</v>
      </c>
      <c r="AD6" s="52">
        <v>40.911023292018449</v>
      </c>
      <c r="AE6" s="32">
        <v>43.156397820489794</v>
      </c>
      <c r="AF6" s="32">
        <v>43.570644472386888</v>
      </c>
      <c r="AG6" s="53">
        <v>39.578867532882256</v>
      </c>
    </row>
    <row r="7" spans="1:33">
      <c r="A7" s="3">
        <v>20</v>
      </c>
      <c r="B7" s="7" t="s">
        <v>2</v>
      </c>
      <c r="C7" s="8" t="s">
        <v>8</v>
      </c>
      <c r="D7" s="8">
        <v>30</v>
      </c>
      <c r="E7" s="8">
        <v>180</v>
      </c>
      <c r="F7" s="9">
        <v>86.8</v>
      </c>
      <c r="G7" s="9">
        <f t="shared" si="0"/>
        <v>26.79012345679012</v>
      </c>
      <c r="H7" s="8">
        <v>3.23</v>
      </c>
      <c r="I7" s="9">
        <v>37.26</v>
      </c>
      <c r="J7" s="8">
        <v>43</v>
      </c>
      <c r="K7" s="8">
        <v>7.08</v>
      </c>
      <c r="L7" s="8">
        <v>46</v>
      </c>
      <c r="M7" s="8">
        <v>7.43</v>
      </c>
      <c r="N7" s="8">
        <v>58</v>
      </c>
      <c r="O7" s="8">
        <v>9.4499999999999993</v>
      </c>
      <c r="P7" s="8">
        <v>49</v>
      </c>
      <c r="Q7" s="8">
        <v>8.19</v>
      </c>
      <c r="R7" s="8">
        <v>29.4</v>
      </c>
      <c r="S7" s="8">
        <v>441</v>
      </c>
      <c r="T7" s="8">
        <v>29.7</v>
      </c>
      <c r="U7" s="8">
        <v>445</v>
      </c>
      <c r="V7" s="8">
        <v>38.299999999999997</v>
      </c>
      <c r="W7" s="8">
        <v>575</v>
      </c>
      <c r="X7" s="8">
        <v>31.7</v>
      </c>
      <c r="Y7" s="8">
        <v>476</v>
      </c>
      <c r="Z7" s="11">
        <v>27.941134625644676</v>
      </c>
      <c r="AA7" s="11">
        <v>25.273519473590603</v>
      </c>
      <c r="AB7" s="11">
        <v>33.809887960163614</v>
      </c>
      <c r="AC7" s="11">
        <v>32.209318868931177</v>
      </c>
      <c r="AD7" s="52">
        <v>25.814265215831639</v>
      </c>
      <c r="AE7" s="32">
        <v>28.803623101757747</v>
      </c>
      <c r="AF7" s="32">
        <v>30.597237833313407</v>
      </c>
      <c r="AG7" s="53">
        <v>31.230371876121012</v>
      </c>
    </row>
    <row r="8" spans="1:33">
      <c r="A8" s="3">
        <v>22</v>
      </c>
      <c r="B8" s="7" t="s">
        <v>2</v>
      </c>
      <c r="C8" s="8" t="s">
        <v>6</v>
      </c>
      <c r="D8" s="8">
        <v>23</v>
      </c>
      <c r="E8" s="8">
        <v>166</v>
      </c>
      <c r="F8" s="9">
        <v>52.75</v>
      </c>
      <c r="G8" s="9">
        <f t="shared" si="0"/>
        <v>19.142836405864422</v>
      </c>
      <c r="H8" s="10">
        <v>1.9</v>
      </c>
      <c r="I8" s="9">
        <v>36.06</v>
      </c>
      <c r="J8" s="12">
        <v>25</v>
      </c>
      <c r="K8" s="10">
        <v>4</v>
      </c>
      <c r="L8" s="8">
        <v>22</v>
      </c>
      <c r="M8" s="8">
        <v>3.51</v>
      </c>
      <c r="N8" s="12">
        <v>43</v>
      </c>
      <c r="O8" s="10">
        <v>7.05</v>
      </c>
      <c r="P8" s="8">
        <v>28</v>
      </c>
      <c r="Q8" s="8">
        <v>4.57</v>
      </c>
      <c r="R8" s="8">
        <v>14.2</v>
      </c>
      <c r="S8" s="8">
        <v>213</v>
      </c>
      <c r="T8" s="8">
        <v>12.5</v>
      </c>
      <c r="U8" s="8">
        <v>187</v>
      </c>
      <c r="V8" s="8">
        <v>24</v>
      </c>
      <c r="W8" s="8">
        <v>360</v>
      </c>
      <c r="X8" s="8">
        <v>19.5</v>
      </c>
      <c r="Y8" s="8">
        <v>293</v>
      </c>
      <c r="Z8" s="11">
        <v>17.877561367189148</v>
      </c>
      <c r="AA8" s="11">
        <v>20.892948582534117</v>
      </c>
      <c r="AB8" s="11">
        <v>36.609708901939243</v>
      </c>
      <c r="AC8" s="11">
        <v>14.302049093751318</v>
      </c>
      <c r="AD8" s="52">
        <v>29.809976976208745</v>
      </c>
      <c r="AE8" s="32">
        <v>31.515442994798324</v>
      </c>
      <c r="AF8" s="32">
        <v>42.60097211563059</v>
      </c>
      <c r="AG8" s="53">
        <v>28.104510957619162</v>
      </c>
    </row>
    <row r="9" spans="1:33">
      <c r="A9" s="3">
        <v>23</v>
      </c>
      <c r="B9" s="7" t="s">
        <v>2</v>
      </c>
      <c r="C9" s="8" t="s">
        <v>8</v>
      </c>
      <c r="D9" s="8">
        <v>26</v>
      </c>
      <c r="E9" s="8">
        <v>165</v>
      </c>
      <c r="F9" s="9">
        <v>71.05</v>
      </c>
      <c r="G9" s="9">
        <f t="shared" si="0"/>
        <v>26.097337006427917</v>
      </c>
      <c r="H9" s="10">
        <v>2.5750000000000002</v>
      </c>
      <c r="I9" s="9">
        <v>36.26</v>
      </c>
      <c r="J9" s="8">
        <v>43</v>
      </c>
      <c r="K9" s="8">
        <v>7.15</v>
      </c>
      <c r="L9" s="12">
        <v>43</v>
      </c>
      <c r="M9" s="10">
        <v>7.04</v>
      </c>
      <c r="N9" s="8">
        <v>52</v>
      </c>
      <c r="O9" s="8">
        <v>8.41</v>
      </c>
      <c r="P9" s="12">
        <v>43</v>
      </c>
      <c r="Q9" s="10">
        <v>7.28</v>
      </c>
      <c r="R9" s="8">
        <v>22.6</v>
      </c>
      <c r="S9" s="8">
        <v>339</v>
      </c>
      <c r="T9" s="8">
        <v>23.7</v>
      </c>
      <c r="U9" s="8">
        <v>356</v>
      </c>
      <c r="V9" s="8">
        <v>32.6</v>
      </c>
      <c r="W9" s="8">
        <v>489</v>
      </c>
      <c r="X9" s="8">
        <v>29.2</v>
      </c>
      <c r="Y9" s="8">
        <v>438</v>
      </c>
      <c r="Z9" s="11">
        <v>30.075226747287921</v>
      </c>
      <c r="AA9" s="11">
        <v>25.273519473590603</v>
      </c>
      <c r="AB9" s="11">
        <v>31.675795838520362</v>
      </c>
      <c r="AC9" s="11">
        <v>25.807042504001416</v>
      </c>
      <c r="AD9" s="52">
        <v>31.195109410498631</v>
      </c>
      <c r="AE9" s="32">
        <v>27.010008370202083</v>
      </c>
      <c r="AF9" s="32">
        <v>31.195109410498631</v>
      </c>
      <c r="AG9" s="53">
        <v>28.205751524572527</v>
      </c>
    </row>
    <row r="10" spans="1:33">
      <c r="A10" s="3">
        <v>24</v>
      </c>
      <c r="B10" s="7" t="s">
        <v>2</v>
      </c>
      <c r="C10" s="8" t="s">
        <v>6</v>
      </c>
      <c r="D10" s="8">
        <v>35</v>
      </c>
      <c r="E10" s="8">
        <v>172</v>
      </c>
      <c r="F10" s="9">
        <v>57.9</v>
      </c>
      <c r="G10" s="9">
        <f t="shared" si="0"/>
        <v>19.571389940508386</v>
      </c>
      <c r="H10" s="8">
        <v>2.06</v>
      </c>
      <c r="I10" s="9">
        <v>35.65</v>
      </c>
      <c r="J10" s="12">
        <v>37</v>
      </c>
      <c r="K10" s="10">
        <v>6.19</v>
      </c>
      <c r="L10" s="13">
        <v>37</v>
      </c>
      <c r="M10" s="14">
        <v>6.19</v>
      </c>
      <c r="N10" s="12">
        <v>49</v>
      </c>
      <c r="O10" s="10">
        <v>8.1999999999999993</v>
      </c>
      <c r="P10" s="8">
        <v>40</v>
      </c>
      <c r="Q10" s="8">
        <v>6.59</v>
      </c>
      <c r="R10" s="8">
        <v>23.5</v>
      </c>
      <c r="S10" s="8">
        <v>353</v>
      </c>
      <c r="T10" s="15">
        <v>23.5</v>
      </c>
      <c r="U10" s="15">
        <v>353</v>
      </c>
      <c r="V10" s="8">
        <v>32.700000000000003</v>
      </c>
      <c r="W10" s="8">
        <v>491</v>
      </c>
      <c r="X10" s="8">
        <v>24.1</v>
      </c>
      <c r="Y10" s="8">
        <v>362</v>
      </c>
      <c r="Z10" s="11">
        <v>19.778782373568802</v>
      </c>
      <c r="AA10" s="16">
        <v>19.778782373568802</v>
      </c>
      <c r="AB10" s="11">
        <v>32.453589082766484</v>
      </c>
      <c r="AC10" s="11">
        <v>19.778782373568802</v>
      </c>
      <c r="AD10" s="52">
        <v>28.752980301867481</v>
      </c>
      <c r="AE10" s="54">
        <v>28.752980301867481</v>
      </c>
      <c r="AF10" s="32">
        <v>45.159171143514961</v>
      </c>
      <c r="AG10" s="53">
        <v>33.22982860066513</v>
      </c>
    </row>
    <row r="11" spans="1:33">
      <c r="A11" s="3">
        <v>27</v>
      </c>
      <c r="B11" s="7" t="s">
        <v>2</v>
      </c>
      <c r="C11" s="8" t="s">
        <v>7</v>
      </c>
      <c r="D11" s="8">
        <v>33</v>
      </c>
      <c r="E11" s="8">
        <v>160</v>
      </c>
      <c r="F11" s="9">
        <v>53.75</v>
      </c>
      <c r="G11" s="9">
        <f t="shared" si="0"/>
        <v>20.996093749999996</v>
      </c>
      <c r="H11" s="8">
        <v>2.2799999999999998</v>
      </c>
      <c r="I11" s="9">
        <v>42.5</v>
      </c>
      <c r="J11" s="8">
        <v>37</v>
      </c>
      <c r="K11" s="8">
        <v>6.22</v>
      </c>
      <c r="L11" s="12">
        <v>31</v>
      </c>
      <c r="M11" s="10">
        <v>5.13</v>
      </c>
      <c r="N11" s="8">
        <v>40</v>
      </c>
      <c r="O11" s="8">
        <v>6.41</v>
      </c>
      <c r="P11" s="12">
        <v>31</v>
      </c>
      <c r="Q11" s="10">
        <v>5.15</v>
      </c>
      <c r="R11" s="8">
        <v>18.7</v>
      </c>
      <c r="S11" s="8">
        <v>280</v>
      </c>
      <c r="T11" s="8">
        <v>17.399999999999999</v>
      </c>
      <c r="U11" s="8">
        <v>261</v>
      </c>
      <c r="V11" s="8">
        <v>26</v>
      </c>
      <c r="W11" s="8">
        <v>390</v>
      </c>
      <c r="X11" s="8">
        <v>23.1</v>
      </c>
      <c r="Y11" s="8">
        <v>347</v>
      </c>
      <c r="Z11" s="11">
        <v>25.807042504001416</v>
      </c>
      <c r="AA11" s="11">
        <v>27.941134625644676</v>
      </c>
      <c r="AB11" s="11">
        <v>39.145118264271744</v>
      </c>
      <c r="AC11" s="11">
        <v>22.07238129112573</v>
      </c>
      <c r="AD11" s="52">
        <v>29.401494678942967</v>
      </c>
      <c r="AE11" s="32">
        <v>29.401494678942967</v>
      </c>
      <c r="AF11" s="32">
        <v>38.369568336721272</v>
      </c>
      <c r="AG11" s="53">
        <v>29.401494678942967</v>
      </c>
    </row>
    <row r="12" spans="1:33">
      <c r="A12" s="3">
        <v>28</v>
      </c>
      <c r="B12" s="7" t="s">
        <v>2</v>
      </c>
      <c r="C12" s="8" t="s">
        <v>6</v>
      </c>
      <c r="D12" s="8">
        <v>24</v>
      </c>
      <c r="E12" s="8">
        <v>163</v>
      </c>
      <c r="F12" s="9">
        <v>63.1</v>
      </c>
      <c r="G12" s="9">
        <f t="shared" si="0"/>
        <v>23.74948247958147</v>
      </c>
      <c r="H12" s="8">
        <v>1.94</v>
      </c>
      <c r="I12" s="9">
        <v>30.9</v>
      </c>
      <c r="J12" s="12">
        <v>37</v>
      </c>
      <c r="K12" s="10">
        <v>6.16</v>
      </c>
      <c r="L12" s="8">
        <v>40</v>
      </c>
      <c r="M12" s="8">
        <v>6.39</v>
      </c>
      <c r="N12" s="12">
        <v>49</v>
      </c>
      <c r="O12" s="10">
        <v>8</v>
      </c>
      <c r="P12" s="8">
        <v>40</v>
      </c>
      <c r="Q12" s="8">
        <v>6.59</v>
      </c>
      <c r="R12" s="8">
        <v>17.7</v>
      </c>
      <c r="S12" s="8">
        <v>266</v>
      </c>
      <c r="T12" s="8">
        <v>19.100000000000001</v>
      </c>
      <c r="U12" s="8">
        <v>287</v>
      </c>
      <c r="V12" s="8">
        <v>27.5</v>
      </c>
      <c r="W12" s="8">
        <v>413</v>
      </c>
      <c r="X12" s="8">
        <v>26.4</v>
      </c>
      <c r="Y12" s="8">
        <v>396</v>
      </c>
      <c r="Z12" s="11">
        <v>15.316033630487135</v>
      </c>
      <c r="AA12" s="11">
        <v>11.540158012590309</v>
      </c>
      <c r="AB12" s="11">
        <v>16.837010435590855</v>
      </c>
      <c r="AC12" s="11">
        <v>13.795056825383412</v>
      </c>
      <c r="AD12" s="52">
        <v>28.187234297347462</v>
      </c>
      <c r="AE12" s="32">
        <v>27.438776121190344</v>
      </c>
      <c r="AF12" s="32">
        <v>28.187234297347462</v>
      </c>
      <c r="AG12" s="53">
        <v>28.601480949244554</v>
      </c>
    </row>
    <row r="13" spans="1:33">
      <c r="A13" s="2">
        <v>1</v>
      </c>
      <c r="B13" s="7" t="s">
        <v>3</v>
      </c>
      <c r="C13" s="8" t="s">
        <v>6</v>
      </c>
      <c r="D13" s="8">
        <v>22</v>
      </c>
      <c r="E13" s="8">
        <v>170</v>
      </c>
      <c r="F13" s="8">
        <v>53.4</v>
      </c>
      <c r="G13" s="9">
        <f>F13/((E13/100)*(E13/100))</f>
        <v>18.477508650519034</v>
      </c>
      <c r="H13" s="8">
        <v>2.14</v>
      </c>
      <c r="I13" s="8">
        <v>40</v>
      </c>
      <c r="J13" s="8">
        <v>43</v>
      </c>
      <c r="K13" s="8">
        <v>7.05</v>
      </c>
      <c r="L13" s="8">
        <v>34</v>
      </c>
      <c r="M13" s="8">
        <v>5.54</v>
      </c>
      <c r="N13" s="8">
        <v>49</v>
      </c>
      <c r="O13" s="10">
        <v>8</v>
      </c>
      <c r="P13" s="8">
        <v>34</v>
      </c>
      <c r="Q13" s="8">
        <v>6.01</v>
      </c>
      <c r="R13" s="8">
        <v>19.5</v>
      </c>
      <c r="S13" s="8">
        <v>293</v>
      </c>
      <c r="T13" s="8">
        <v>18.899999999999999</v>
      </c>
      <c r="U13" s="8">
        <v>284</v>
      </c>
      <c r="V13" s="8">
        <v>27.1</v>
      </c>
      <c r="W13" s="8">
        <v>407</v>
      </c>
      <c r="X13" s="8">
        <v>20.100000000000001</v>
      </c>
      <c r="Y13" s="8">
        <v>302</v>
      </c>
      <c r="Z13" s="11">
        <v>29.734227481919792</v>
      </c>
      <c r="AA13" s="11">
        <v>26.578408941485865</v>
      </c>
      <c r="AB13" s="11">
        <v>41.305562130177506</v>
      </c>
      <c r="AC13" s="11">
        <v>22.89662064431295</v>
      </c>
      <c r="AD13" s="52">
        <v>31.658610525306749</v>
      </c>
      <c r="AE13" s="32">
        <v>31.311179329751852</v>
      </c>
      <c r="AF13" s="32">
        <v>44.306438134220173</v>
      </c>
      <c r="AG13" s="53">
        <v>28.113430544896389</v>
      </c>
    </row>
    <row r="14" spans="1:33">
      <c r="A14" s="3">
        <v>2</v>
      </c>
      <c r="B14" s="7" t="s">
        <v>3</v>
      </c>
      <c r="C14" s="8" t="s">
        <v>7</v>
      </c>
      <c r="D14" s="8">
        <v>26</v>
      </c>
      <c r="E14" s="8">
        <v>178</v>
      </c>
      <c r="F14" s="8">
        <v>65.2</v>
      </c>
      <c r="G14" s="9">
        <f>F14/((E14/100)*(E14/100))</f>
        <v>20.578209821992171</v>
      </c>
      <c r="H14" s="8">
        <v>2.4300000000000002</v>
      </c>
      <c r="I14" s="8">
        <v>37.799999999999997</v>
      </c>
      <c r="J14" s="8">
        <v>37</v>
      </c>
      <c r="K14" s="10">
        <v>6.1</v>
      </c>
      <c r="L14" s="8">
        <v>43</v>
      </c>
      <c r="M14" s="10">
        <v>7</v>
      </c>
      <c r="N14" s="8">
        <v>52</v>
      </c>
      <c r="O14" s="10">
        <v>8.3000000000000007</v>
      </c>
      <c r="P14" s="8">
        <v>43</v>
      </c>
      <c r="Q14" s="10">
        <v>7</v>
      </c>
      <c r="R14" s="8">
        <v>24.8</v>
      </c>
      <c r="S14" s="8">
        <v>372</v>
      </c>
      <c r="T14" s="8">
        <v>25.9</v>
      </c>
      <c r="U14" s="8">
        <v>389</v>
      </c>
      <c r="V14" s="8">
        <v>33.5</v>
      </c>
      <c r="W14" s="8">
        <v>502</v>
      </c>
      <c r="X14" s="8">
        <v>21.4</v>
      </c>
      <c r="Y14" s="8">
        <v>321</v>
      </c>
      <c r="Z14" s="11">
        <v>15.823025898855043</v>
      </c>
      <c r="AA14" s="11">
        <v>16.330018167222949</v>
      </c>
      <c r="AB14" s="11">
        <v>26.469863534581098</v>
      </c>
      <c r="AC14" s="11">
        <v>18.864979509062486</v>
      </c>
      <c r="AD14" s="52">
        <v>23.696485240404762</v>
      </c>
      <c r="AE14" s="32">
        <v>23.148553978803662</v>
      </c>
      <c r="AF14" s="32">
        <v>39.578867532882256</v>
      </c>
      <c r="AG14" s="53">
        <v>27.033822213701434</v>
      </c>
    </row>
    <row r="15" spans="1:33">
      <c r="A15" s="3">
        <v>3</v>
      </c>
      <c r="B15" s="7" t="s">
        <v>3</v>
      </c>
      <c r="C15" s="8" t="s">
        <v>6</v>
      </c>
      <c r="D15" s="8">
        <v>23</v>
      </c>
      <c r="E15" s="8">
        <v>179</v>
      </c>
      <c r="F15" s="9">
        <v>86.85</v>
      </c>
      <c r="G15" s="9">
        <f>F15/((E15/100)*(E15/100))</f>
        <v>27.105895571299271</v>
      </c>
      <c r="H15" s="8">
        <v>3.38</v>
      </c>
      <c r="I15" s="8">
        <v>38.9</v>
      </c>
      <c r="J15" s="8">
        <v>60</v>
      </c>
      <c r="K15" s="8">
        <v>5.35</v>
      </c>
      <c r="L15" s="8">
        <v>50</v>
      </c>
      <c r="M15" s="8">
        <v>4.38</v>
      </c>
      <c r="N15" s="8">
        <v>60</v>
      </c>
      <c r="O15" s="8">
        <v>5.59</v>
      </c>
      <c r="P15" s="8">
        <v>55</v>
      </c>
      <c r="Q15" s="10">
        <v>5.0999999999999996</v>
      </c>
      <c r="R15" s="8">
        <v>25.7</v>
      </c>
      <c r="S15" s="8">
        <v>386</v>
      </c>
      <c r="T15" s="8">
        <v>21.7</v>
      </c>
      <c r="U15" s="8">
        <v>326</v>
      </c>
      <c r="V15" s="8">
        <v>36.799999999999997</v>
      </c>
      <c r="W15" s="8">
        <v>552</v>
      </c>
      <c r="X15" s="8">
        <v>29.8</v>
      </c>
      <c r="Y15" s="8">
        <v>447</v>
      </c>
      <c r="Z15" s="11">
        <v>20.471812199893289</v>
      </c>
      <c r="AA15" s="11">
        <v>19.404766139071665</v>
      </c>
      <c r="AB15" s="11">
        <v>25.273519473590603</v>
      </c>
      <c r="AC15" s="11">
        <v>22.07238129112573</v>
      </c>
      <c r="AD15" s="52">
        <v>31.230371876121012</v>
      </c>
      <c r="AE15" s="32">
        <v>32.824696081948268</v>
      </c>
      <c r="AF15" s="32">
        <v>27.010008370202083</v>
      </c>
      <c r="AG15" s="53">
        <v>30.597237833313407</v>
      </c>
    </row>
    <row r="16" spans="1:33">
      <c r="A16" s="3">
        <v>4</v>
      </c>
      <c r="B16" s="7" t="s">
        <v>3</v>
      </c>
      <c r="C16" s="8" t="s">
        <v>8</v>
      </c>
      <c r="D16" s="8">
        <v>29</v>
      </c>
      <c r="E16" s="8">
        <v>185</v>
      </c>
      <c r="F16" s="8">
        <v>94.8</v>
      </c>
      <c r="G16" s="9">
        <f>F16/((E16/100)*(E16/100))</f>
        <v>27.699050401753102</v>
      </c>
      <c r="H16" s="8">
        <v>4.42</v>
      </c>
      <c r="I16" s="8">
        <v>46.6</v>
      </c>
      <c r="J16" s="8">
        <v>55</v>
      </c>
      <c r="K16" s="8">
        <v>5.07</v>
      </c>
      <c r="L16" s="8">
        <v>45</v>
      </c>
      <c r="M16" s="8">
        <v>4.12</v>
      </c>
      <c r="N16" s="8">
        <v>70</v>
      </c>
      <c r="O16" s="8">
        <v>6.55</v>
      </c>
      <c r="P16" s="8">
        <v>60</v>
      </c>
      <c r="Q16" s="8">
        <v>5.34</v>
      </c>
      <c r="R16" s="8">
        <v>34.299999999999997</v>
      </c>
      <c r="S16" s="8">
        <v>514</v>
      </c>
      <c r="T16" s="8">
        <v>34.299999999999997</v>
      </c>
      <c r="U16" s="8">
        <v>514</v>
      </c>
      <c r="V16" s="8">
        <v>47.1</v>
      </c>
      <c r="W16" s="8">
        <v>706</v>
      </c>
      <c r="X16" s="8">
        <v>35.700000000000003</v>
      </c>
      <c r="Y16" s="8">
        <v>535</v>
      </c>
      <c r="Z16" s="11">
        <v>16.584983563445103</v>
      </c>
      <c r="AA16" s="11">
        <v>18.162892833662067</v>
      </c>
      <c r="AB16" s="11">
        <v>25.526469428007889</v>
      </c>
      <c r="AC16" s="11">
        <v>20.266771860618015</v>
      </c>
      <c r="AD16" s="52">
        <v>32.590278843694037</v>
      </c>
      <c r="AE16" s="32">
        <v>31.311179329751852</v>
      </c>
      <c r="AF16" s="32">
        <v>34.073642022682691</v>
      </c>
      <c r="AG16" s="53">
        <v>32.368176004093115</v>
      </c>
    </row>
    <row r="17" spans="1:33">
      <c r="A17" s="3">
        <v>5</v>
      </c>
      <c r="B17" s="7" t="s">
        <v>3</v>
      </c>
      <c r="C17" s="8" t="s">
        <v>6</v>
      </c>
      <c r="D17" s="8">
        <v>28</v>
      </c>
      <c r="E17" s="8">
        <v>186</v>
      </c>
      <c r="F17" s="9">
        <v>79.25</v>
      </c>
      <c r="G17" s="9">
        <f>F17/((E17/100)*(E17/100))</f>
        <v>22.907272517053993</v>
      </c>
      <c r="H17" s="8">
        <v>3.13</v>
      </c>
      <c r="I17" s="8">
        <v>39.6</v>
      </c>
      <c r="J17" s="8">
        <v>65</v>
      </c>
      <c r="K17" s="8">
        <v>6.15</v>
      </c>
      <c r="L17" s="8">
        <v>55</v>
      </c>
      <c r="M17" s="10">
        <v>5.2</v>
      </c>
      <c r="N17" s="8">
        <v>70</v>
      </c>
      <c r="O17" s="10">
        <v>6.5</v>
      </c>
      <c r="P17" s="8">
        <v>55</v>
      </c>
      <c r="Q17" s="10">
        <v>5.3</v>
      </c>
      <c r="R17" s="8">
        <v>31.1</v>
      </c>
      <c r="S17" s="8">
        <v>467</v>
      </c>
      <c r="T17" s="8">
        <v>28.3</v>
      </c>
      <c r="U17" s="8">
        <v>425</v>
      </c>
      <c r="V17" s="8">
        <v>40.9</v>
      </c>
      <c r="W17" s="8">
        <v>613</v>
      </c>
      <c r="X17" s="8">
        <v>28.3</v>
      </c>
      <c r="Y17" s="8">
        <v>425</v>
      </c>
      <c r="Z17" s="11">
        <v>12.841683103221564</v>
      </c>
      <c r="AA17" s="11">
        <v>19.740802103879027</v>
      </c>
      <c r="AB17" s="11">
        <v>29.734227481919792</v>
      </c>
      <c r="AC17" s="11">
        <v>21.31871137409599</v>
      </c>
      <c r="AD17" s="52">
        <v>35.779108041272266</v>
      </c>
      <c r="AE17" s="32">
        <v>38.337307069156644</v>
      </c>
      <c r="AF17" s="32">
        <v>38.346226656433871</v>
      </c>
      <c r="AG17" s="53">
        <v>35.1484778715784</v>
      </c>
    </row>
    <row r="18" spans="1:33">
      <c r="A18" s="3">
        <v>7</v>
      </c>
      <c r="B18" s="7" t="s">
        <v>3</v>
      </c>
      <c r="C18" s="8" t="s">
        <v>7</v>
      </c>
      <c r="D18" s="8">
        <v>23</v>
      </c>
      <c r="E18" s="8">
        <v>185</v>
      </c>
      <c r="F18" s="9">
        <v>82</v>
      </c>
      <c r="G18" s="9">
        <f t="shared" ref="G18:G24" si="1">F18/((E18/100)*(E18/100))</f>
        <v>23.959094229364496</v>
      </c>
      <c r="H18" s="8">
        <v>2.99</v>
      </c>
      <c r="I18" s="8">
        <v>36.5</v>
      </c>
      <c r="J18" s="8">
        <v>34</v>
      </c>
      <c r="K18" s="8">
        <v>5.56</v>
      </c>
      <c r="L18" s="8">
        <v>46</v>
      </c>
      <c r="M18" s="8">
        <v>7.47</v>
      </c>
      <c r="N18" s="8">
        <v>61</v>
      </c>
      <c r="O18" s="10">
        <v>10</v>
      </c>
      <c r="P18" s="8">
        <v>49</v>
      </c>
      <c r="Q18" s="8">
        <v>8.3800000000000008</v>
      </c>
      <c r="R18" s="8">
        <v>22.1</v>
      </c>
      <c r="S18" s="8">
        <v>332</v>
      </c>
      <c r="T18" s="8">
        <v>25.8</v>
      </c>
      <c r="U18" s="8">
        <v>387</v>
      </c>
      <c r="V18" s="8">
        <v>32.6</v>
      </c>
      <c r="W18" s="8">
        <v>489</v>
      </c>
      <c r="X18" s="8">
        <v>25.9</v>
      </c>
      <c r="Y18" s="8">
        <v>389</v>
      </c>
      <c r="Z18" s="11">
        <v>14.708859689889728</v>
      </c>
      <c r="AA18" s="11">
        <v>16.837010435590855</v>
      </c>
      <c r="AB18" s="11">
        <v>19.778782373568802</v>
      </c>
      <c r="AC18" s="11">
        <v>17.344002703958765</v>
      </c>
      <c r="AD18" s="52">
        <v>31.595313653873017</v>
      </c>
      <c r="AE18" s="32">
        <v>28.601480949244554</v>
      </c>
      <c r="AF18" s="32">
        <v>30.597369418996863</v>
      </c>
      <c r="AG18" s="53">
        <v>27.603536714368399</v>
      </c>
    </row>
    <row r="19" spans="1:33">
      <c r="A19" s="3">
        <v>12</v>
      </c>
      <c r="B19" s="7" t="s">
        <v>3</v>
      </c>
      <c r="C19" s="8" t="s">
        <v>7</v>
      </c>
      <c r="D19" s="8">
        <v>29</v>
      </c>
      <c r="E19" s="8">
        <v>180</v>
      </c>
      <c r="F19" s="8">
        <v>73.599999999999994</v>
      </c>
      <c r="G19" s="9">
        <f t="shared" si="1"/>
        <v>22.716049382716047</v>
      </c>
      <c r="H19" s="10">
        <v>3</v>
      </c>
      <c r="I19" s="8">
        <v>40.799999999999997</v>
      </c>
      <c r="J19" s="8">
        <v>49</v>
      </c>
      <c r="K19" s="8">
        <v>8.26</v>
      </c>
      <c r="L19" s="8">
        <v>52</v>
      </c>
      <c r="M19" s="8">
        <v>8.3699999999999992</v>
      </c>
      <c r="N19" s="8">
        <v>64</v>
      </c>
      <c r="O19" s="8">
        <v>10.34</v>
      </c>
      <c r="P19" s="8">
        <v>52</v>
      </c>
      <c r="Q19" s="8">
        <v>8.56</v>
      </c>
      <c r="R19" s="8">
        <v>33.799999999999997</v>
      </c>
      <c r="S19" s="8">
        <v>507</v>
      </c>
      <c r="T19" s="8">
        <v>32.799999999999997</v>
      </c>
      <c r="U19" s="8">
        <v>492</v>
      </c>
      <c r="V19" s="8">
        <v>41.4</v>
      </c>
      <c r="W19" s="8">
        <v>621</v>
      </c>
      <c r="X19" s="8">
        <v>33.6</v>
      </c>
      <c r="Y19" s="8">
        <v>504</v>
      </c>
      <c r="Z19" s="11">
        <v>16.128994082840237</v>
      </c>
      <c r="AA19" s="11">
        <v>21.318711374095987</v>
      </c>
      <c r="AB19" s="11">
        <v>28.156318211702828</v>
      </c>
      <c r="AC19" s="11">
        <v>21.318711374095987</v>
      </c>
      <c r="AD19" s="52">
        <v>27.473880787925296</v>
      </c>
      <c r="AE19" s="32">
        <v>30.671629572780759</v>
      </c>
      <c r="AF19" s="32">
        <v>35.022063522494889</v>
      </c>
      <c r="AG19" s="53">
        <v>29.392530058838574</v>
      </c>
    </row>
    <row r="20" spans="1:33">
      <c r="A20" s="3">
        <v>13</v>
      </c>
      <c r="B20" s="7" t="s">
        <v>3</v>
      </c>
      <c r="C20" s="8" t="s">
        <v>6</v>
      </c>
      <c r="D20" s="8">
        <v>31</v>
      </c>
      <c r="E20" s="8">
        <v>181</v>
      </c>
      <c r="F20" s="9">
        <v>99.25</v>
      </c>
      <c r="G20" s="9">
        <f t="shared" si="1"/>
        <v>30.295168035163762</v>
      </c>
      <c r="H20" s="8">
        <v>4.01</v>
      </c>
      <c r="I20" s="8">
        <v>40.5</v>
      </c>
      <c r="J20" s="8">
        <v>70</v>
      </c>
      <c r="K20" s="10">
        <v>6.5</v>
      </c>
      <c r="L20" s="8">
        <v>65</v>
      </c>
      <c r="M20" s="8">
        <v>6.16</v>
      </c>
      <c r="N20" s="8">
        <v>90</v>
      </c>
      <c r="O20" s="8">
        <v>8.4499999999999993</v>
      </c>
      <c r="P20" s="8">
        <v>70</v>
      </c>
      <c r="Q20" s="8">
        <v>6.42</v>
      </c>
      <c r="R20" s="8">
        <v>36.1</v>
      </c>
      <c r="S20" s="8">
        <v>542</v>
      </c>
      <c r="T20" s="8">
        <v>36.299999999999997</v>
      </c>
      <c r="U20" s="8">
        <v>545</v>
      </c>
      <c r="V20" s="8">
        <v>47.5</v>
      </c>
      <c r="W20" s="8">
        <v>712</v>
      </c>
      <c r="X20" s="8">
        <v>37.700000000000003</v>
      </c>
      <c r="Y20" s="8">
        <v>566</v>
      </c>
      <c r="Z20" s="11">
        <v>10.273346482577251</v>
      </c>
      <c r="AA20" s="11">
        <v>11.325285996055227</v>
      </c>
      <c r="AB20" s="11">
        <v>46.372255095332015</v>
      </c>
      <c r="AC20" s="11">
        <v>25.000499671268901</v>
      </c>
      <c r="AD20" s="52">
        <v>23.636582246098744</v>
      </c>
      <c r="AE20" s="32">
        <v>24.915681760040925</v>
      </c>
      <c r="AF20" s="32">
        <v>38.985776413404963</v>
      </c>
      <c r="AG20" s="53">
        <v>34.926375031977486</v>
      </c>
    </row>
    <row r="21" spans="1:33">
      <c r="A21" s="3">
        <v>14</v>
      </c>
      <c r="B21" s="7" t="s">
        <v>3</v>
      </c>
      <c r="C21" s="8" t="s">
        <v>7</v>
      </c>
      <c r="D21" s="8">
        <v>29</v>
      </c>
      <c r="E21" s="8">
        <v>180</v>
      </c>
      <c r="F21" s="9">
        <v>68.650000000000006</v>
      </c>
      <c r="G21" s="9">
        <f t="shared" si="1"/>
        <v>21.188271604938272</v>
      </c>
      <c r="H21" s="10">
        <v>3.0569999999999999</v>
      </c>
      <c r="I21" s="9">
        <v>44.55</v>
      </c>
      <c r="J21" s="12">
        <v>50</v>
      </c>
      <c r="K21" s="10">
        <v>5.03</v>
      </c>
      <c r="L21" s="12">
        <v>50</v>
      </c>
      <c r="M21" s="10">
        <v>4.55</v>
      </c>
      <c r="N21" s="12">
        <v>60</v>
      </c>
      <c r="O21" s="8">
        <v>5.47</v>
      </c>
      <c r="P21" s="12">
        <v>55</v>
      </c>
      <c r="Q21" s="8">
        <v>5.14</v>
      </c>
      <c r="R21" s="9">
        <v>26.2</v>
      </c>
      <c r="S21" s="12">
        <v>393</v>
      </c>
      <c r="T21" s="9">
        <v>25.4</v>
      </c>
      <c r="U21" s="12">
        <v>381</v>
      </c>
      <c r="V21" s="9">
        <v>34.299999999999997</v>
      </c>
      <c r="W21" s="12">
        <v>514</v>
      </c>
      <c r="X21" s="9">
        <v>29.5</v>
      </c>
      <c r="Y21" s="12">
        <v>443</v>
      </c>
      <c r="Z21" s="11">
        <v>28.497832608052725</v>
      </c>
      <c r="AA21" s="11">
        <v>12.274080020279692</v>
      </c>
      <c r="AB21" s="11">
        <v>35.088732096835514</v>
      </c>
      <c r="AC21" s="11">
        <v>26.976855802949007</v>
      </c>
      <c r="AD21" s="52">
        <v>33.424415260736197</v>
      </c>
      <c r="AE21" s="32">
        <v>29.430294606339469</v>
      </c>
      <c r="AF21" s="32">
        <v>36.451555310582819</v>
      </c>
      <c r="AG21" s="53">
        <v>35.820887653374236</v>
      </c>
    </row>
    <row r="22" spans="1:33">
      <c r="A22" s="3">
        <v>19</v>
      </c>
      <c r="B22" s="7" t="s">
        <v>3</v>
      </c>
      <c r="C22" s="8" t="s">
        <v>6</v>
      </c>
      <c r="D22" s="8">
        <v>31</v>
      </c>
      <c r="E22" s="8">
        <v>180</v>
      </c>
      <c r="F22" s="9">
        <v>66.05</v>
      </c>
      <c r="G22" s="9">
        <f t="shared" si="1"/>
        <v>20.3858024691358</v>
      </c>
      <c r="H22" s="8">
        <v>2.14</v>
      </c>
      <c r="I22" s="8">
        <v>32.4</v>
      </c>
      <c r="J22" s="8">
        <v>37</v>
      </c>
      <c r="K22" s="8">
        <v>6.27</v>
      </c>
      <c r="L22" s="8">
        <v>43</v>
      </c>
      <c r="M22" s="10">
        <v>7</v>
      </c>
      <c r="N22" s="8">
        <v>55</v>
      </c>
      <c r="O22" s="10">
        <v>9.1</v>
      </c>
      <c r="P22" s="8">
        <v>46</v>
      </c>
      <c r="Q22" s="10">
        <v>7.3</v>
      </c>
      <c r="R22" s="8">
        <v>24.7</v>
      </c>
      <c r="S22" s="8">
        <v>370</v>
      </c>
      <c r="T22" s="8">
        <v>24.1</v>
      </c>
      <c r="U22" s="8">
        <v>361</v>
      </c>
      <c r="V22" s="8">
        <v>36.700000000000003</v>
      </c>
      <c r="W22" s="8">
        <v>551</v>
      </c>
      <c r="X22" s="8">
        <v>28.5</v>
      </c>
      <c r="Y22" s="8">
        <v>427</v>
      </c>
      <c r="Z22" s="11">
        <v>21.538858260714917</v>
      </c>
      <c r="AA22" s="11">
        <v>23.139427351947354</v>
      </c>
      <c r="AB22" s="11">
        <v>31.675795838520365</v>
      </c>
      <c r="AC22" s="11">
        <v>19.938289169482477</v>
      </c>
      <c r="AD22" s="52">
        <v>35.587090593377638</v>
      </c>
      <c r="AE22" s="32">
        <v>31.595313653873017</v>
      </c>
      <c r="AF22" s="32">
        <v>38.580923298006105</v>
      </c>
      <c r="AG22" s="53">
        <v>28.601480949244554</v>
      </c>
    </row>
    <row r="23" spans="1:33">
      <c r="A23" s="3">
        <v>21</v>
      </c>
      <c r="B23" s="7" t="s">
        <v>3</v>
      </c>
      <c r="C23" s="8" t="s">
        <v>6</v>
      </c>
      <c r="D23" s="8">
        <v>27</v>
      </c>
      <c r="E23" s="8">
        <v>197</v>
      </c>
      <c r="F23" s="8">
        <v>121.3</v>
      </c>
      <c r="G23" s="9">
        <f t="shared" si="1"/>
        <v>31.255636579144014</v>
      </c>
      <c r="H23" s="8">
        <v>4.7699999999999996</v>
      </c>
      <c r="I23" s="8">
        <v>39.4</v>
      </c>
      <c r="J23" s="8">
        <v>55</v>
      </c>
      <c r="K23" s="8">
        <v>5.26</v>
      </c>
      <c r="L23" s="8">
        <v>55</v>
      </c>
      <c r="M23" s="8">
        <v>5.07</v>
      </c>
      <c r="N23" s="8">
        <v>70</v>
      </c>
      <c r="O23" s="8">
        <v>6.43</v>
      </c>
      <c r="P23" s="8">
        <v>60</v>
      </c>
      <c r="Q23" s="8">
        <v>5.53</v>
      </c>
      <c r="R23" s="8">
        <v>24.6</v>
      </c>
      <c r="S23" s="8">
        <v>369</v>
      </c>
      <c r="T23" s="17">
        <v>21.3</v>
      </c>
      <c r="U23" s="8">
        <v>320</v>
      </c>
      <c r="V23" s="8">
        <v>44.9</v>
      </c>
      <c r="W23" s="8">
        <v>674</v>
      </c>
      <c r="X23" s="8">
        <v>38.4</v>
      </c>
      <c r="Y23" s="8">
        <v>576</v>
      </c>
      <c r="Z23" s="11">
        <v>28.474657656055484</v>
      </c>
      <c r="AA23" s="11">
        <v>23.139427351947354</v>
      </c>
      <c r="AB23" s="11">
        <v>39.145118264271744</v>
      </c>
      <c r="AC23" s="11">
        <v>32.74284189934199</v>
      </c>
      <c r="AD23" s="52">
        <v>28.041723464466504</v>
      </c>
      <c r="AE23" s="32">
        <v>19.694817649168961</v>
      </c>
      <c r="AF23" s="32">
        <v>32.988724142054295</v>
      </c>
      <c r="AG23" s="53">
        <v>28.803623101757747</v>
      </c>
    </row>
    <row r="24" spans="1:33">
      <c r="A24" s="4">
        <v>26</v>
      </c>
      <c r="B24" s="7" t="s">
        <v>3</v>
      </c>
      <c r="C24" s="8" t="s">
        <v>6</v>
      </c>
      <c r="D24" s="8">
        <v>32</v>
      </c>
      <c r="E24" s="8">
        <v>168</v>
      </c>
      <c r="F24" s="9">
        <v>86.5</v>
      </c>
      <c r="G24" s="9">
        <f t="shared" si="1"/>
        <v>30.647675736961457</v>
      </c>
      <c r="H24" s="8">
        <v>3.2</v>
      </c>
      <c r="I24" s="8">
        <v>37.200000000000003</v>
      </c>
      <c r="J24" s="8">
        <v>45</v>
      </c>
      <c r="K24" s="8">
        <v>4.21</v>
      </c>
      <c r="L24" s="8">
        <v>45</v>
      </c>
      <c r="M24" s="8">
        <v>4.21</v>
      </c>
      <c r="N24" s="8">
        <v>65</v>
      </c>
      <c r="O24" s="10">
        <v>6.2</v>
      </c>
      <c r="P24" s="8">
        <v>45</v>
      </c>
      <c r="Q24" s="8">
        <v>4.1500000000000004</v>
      </c>
      <c r="R24" s="8">
        <v>26.7</v>
      </c>
      <c r="S24" s="8">
        <v>400</v>
      </c>
      <c r="T24" s="8">
        <v>24.5</v>
      </c>
      <c r="U24" s="8">
        <v>368</v>
      </c>
      <c r="V24" s="8">
        <v>43</v>
      </c>
      <c r="W24" s="8">
        <v>645</v>
      </c>
      <c r="X24" s="8">
        <v>25.3</v>
      </c>
      <c r="Y24" s="8">
        <v>380</v>
      </c>
      <c r="Z24" s="11">
        <v>23.139427351947354</v>
      </c>
      <c r="AA24" s="11">
        <v>18.871243108660853</v>
      </c>
      <c r="AB24" s="11">
        <v>31.675795838520365</v>
      </c>
      <c r="AC24" s="11">
        <v>19.938289169482477</v>
      </c>
      <c r="AD24" s="52">
        <v>25.912682051895256</v>
      </c>
      <c r="AE24" s="32">
        <v>29.401494678942967</v>
      </c>
      <c r="AF24" s="32">
        <v>35.978082027980392</v>
      </c>
      <c r="AG24" s="53">
        <v>33.586595719239511</v>
      </c>
    </row>
    <row r="25" spans="1:33">
      <c r="AD25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4"/>
  <sheetViews>
    <sheetView workbookViewId="0">
      <selection activeCell="AC16" sqref="AC16"/>
    </sheetView>
  </sheetViews>
  <sheetFormatPr baseColWidth="10" defaultRowHeight="16"/>
  <cols>
    <col min="4" max="4" width="12" customWidth="1"/>
    <col min="5" max="5" width="11.83203125" bestFit="1" customWidth="1"/>
    <col min="6" max="6" width="12.6640625" bestFit="1" customWidth="1"/>
    <col min="7" max="7" width="17.6640625" bestFit="1" customWidth="1"/>
    <col min="8" max="8" width="25.6640625" bestFit="1" customWidth="1"/>
    <col min="9" max="9" width="19.1640625" bestFit="1" customWidth="1"/>
    <col min="10" max="10" width="26.33203125" bestFit="1" customWidth="1"/>
    <col min="11" max="11" width="19.1640625" bestFit="1" customWidth="1"/>
    <col min="12" max="12" width="26.6640625" bestFit="1" customWidth="1"/>
    <col min="13" max="13" width="19.1640625" bestFit="1" customWidth="1"/>
    <col min="14" max="14" width="27.33203125" bestFit="1" customWidth="1"/>
    <col min="15" max="15" width="20.1640625" bestFit="1" customWidth="1"/>
    <col min="16" max="16" width="31" bestFit="1" customWidth="1"/>
    <col min="17" max="17" width="33.1640625" bestFit="1" customWidth="1"/>
    <col min="18" max="18" width="31.6640625" bestFit="1" customWidth="1"/>
    <col min="19" max="19" width="34" bestFit="1" customWidth="1"/>
    <col min="20" max="20" width="32" bestFit="1" customWidth="1"/>
    <col min="21" max="21" width="34.1640625" bestFit="1" customWidth="1"/>
    <col min="22" max="22" width="32.6640625" bestFit="1" customWidth="1"/>
    <col min="23" max="23" width="35" bestFit="1" customWidth="1"/>
    <col min="24" max="24" width="23.1640625" bestFit="1" customWidth="1"/>
    <col min="25" max="25" width="23.83203125" bestFit="1" customWidth="1"/>
    <col min="26" max="26" width="24.1640625" bestFit="1" customWidth="1"/>
    <col min="27" max="27" width="24.83203125" bestFit="1" customWidth="1"/>
    <col min="28" max="28" width="25.1640625" bestFit="1" customWidth="1"/>
    <col min="29" max="29" width="25.83203125" bestFit="1" customWidth="1"/>
    <col min="30" max="30" width="26.1640625" bestFit="1" customWidth="1"/>
    <col min="31" max="31" width="26.83203125" bestFit="1" customWidth="1"/>
  </cols>
  <sheetData>
    <row r="1" spans="1:31" ht="20" thickBot="1">
      <c r="A1" s="1" t="s">
        <v>0</v>
      </c>
      <c r="B1" s="1" t="s">
        <v>1</v>
      </c>
      <c r="C1" s="5" t="s">
        <v>35</v>
      </c>
      <c r="D1" s="5" t="s">
        <v>11</v>
      </c>
      <c r="E1" s="5" t="s">
        <v>4</v>
      </c>
      <c r="F1" s="5" t="s">
        <v>12</v>
      </c>
      <c r="G1" s="5" t="s">
        <v>13</v>
      </c>
      <c r="H1" s="5" t="s">
        <v>36</v>
      </c>
      <c r="I1" s="5" t="s">
        <v>14</v>
      </c>
      <c r="J1" s="5" t="s">
        <v>37</v>
      </c>
      <c r="K1" s="5" t="s">
        <v>14</v>
      </c>
      <c r="L1" s="5" t="s">
        <v>38</v>
      </c>
      <c r="M1" s="5" t="s">
        <v>14</v>
      </c>
      <c r="N1" s="5" t="s">
        <v>39</v>
      </c>
      <c r="O1" s="5" t="s">
        <v>15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46</v>
      </c>
      <c r="V1" s="5" t="s">
        <v>47</v>
      </c>
      <c r="W1" s="5" t="s">
        <v>48</v>
      </c>
      <c r="X1" s="5" t="s">
        <v>49</v>
      </c>
      <c r="Y1" s="5" t="s">
        <v>50</v>
      </c>
      <c r="Z1" s="5" t="s">
        <v>51</v>
      </c>
      <c r="AA1" s="5" t="s">
        <v>52</v>
      </c>
      <c r="AB1" s="5" t="s">
        <v>53</v>
      </c>
      <c r="AC1" s="5" t="s">
        <v>54</v>
      </c>
      <c r="AD1" s="5" t="s">
        <v>55</v>
      </c>
      <c r="AE1" s="5" t="s">
        <v>56</v>
      </c>
    </row>
    <row r="2" spans="1:31" ht="17" thickTop="1">
      <c r="A2" s="2">
        <v>9</v>
      </c>
      <c r="B2" s="18" t="s">
        <v>2</v>
      </c>
      <c r="C2" s="19" t="s">
        <v>6</v>
      </c>
      <c r="D2" s="23">
        <v>90</v>
      </c>
      <c r="E2" s="29">
        <v>29.054752066115704</v>
      </c>
      <c r="F2" s="35">
        <v>3.0870000000000002</v>
      </c>
      <c r="G2" s="27">
        <v>34.299999999999997</v>
      </c>
      <c r="H2" s="25">
        <v>40</v>
      </c>
      <c r="I2" s="25">
        <v>4.07</v>
      </c>
      <c r="J2" s="25">
        <v>35</v>
      </c>
      <c r="K2" s="35">
        <v>3.2</v>
      </c>
      <c r="L2" s="25">
        <v>60</v>
      </c>
      <c r="M2" s="25">
        <v>5.58</v>
      </c>
      <c r="N2" s="25">
        <v>55</v>
      </c>
      <c r="O2" s="25">
        <v>5.19</v>
      </c>
      <c r="P2" s="25">
        <v>22.1</v>
      </c>
      <c r="Q2" s="25">
        <v>331</v>
      </c>
      <c r="R2" s="25">
        <v>21.2</v>
      </c>
      <c r="S2" s="25">
        <v>318</v>
      </c>
      <c r="T2" s="25">
        <v>38.200000000000003</v>
      </c>
      <c r="U2" s="25">
        <v>573</v>
      </c>
      <c r="V2" s="25">
        <v>34.5</v>
      </c>
      <c r="W2" s="25">
        <v>517</v>
      </c>
      <c r="X2" s="41">
        <v>19.74080210387903</v>
      </c>
      <c r="Y2" s="42">
        <v>9.7473767258382633</v>
      </c>
      <c r="Z2" s="42">
        <v>22.370650887573962</v>
      </c>
      <c r="AA2" s="43">
        <v>30.26019723865878</v>
      </c>
      <c r="AB2" s="49">
        <v>23.63658224609874</v>
      </c>
      <c r="AC2" s="50">
        <v>16.601534919416729</v>
      </c>
      <c r="AD2" s="50">
        <v>22.997032489127651</v>
      </c>
      <c r="AE2" s="51">
        <v>31.950729086722944</v>
      </c>
    </row>
    <row r="3" spans="1:31">
      <c r="A3" s="3"/>
      <c r="B3" s="7"/>
      <c r="C3" s="8"/>
      <c r="D3" s="24"/>
      <c r="E3" s="30"/>
      <c r="F3" s="36"/>
      <c r="G3" s="28"/>
      <c r="H3" s="26"/>
      <c r="I3" s="36"/>
      <c r="J3" s="26"/>
      <c r="K3" s="26"/>
      <c r="L3" s="26"/>
      <c r="M3" s="36"/>
      <c r="N3" s="26"/>
      <c r="O3" s="26"/>
      <c r="P3" s="26"/>
      <c r="Q3" s="26"/>
      <c r="R3" s="26"/>
      <c r="S3" s="26"/>
      <c r="T3" s="26"/>
      <c r="U3" s="26"/>
      <c r="V3" s="26"/>
      <c r="W3" s="26"/>
      <c r="X3" s="44"/>
      <c r="Y3" s="7"/>
      <c r="Z3" s="7"/>
      <c r="AA3" s="45"/>
      <c r="AB3" s="44"/>
      <c r="AC3" s="7"/>
      <c r="AD3" s="7"/>
      <c r="AE3" s="45"/>
    </row>
    <row r="4" spans="1:31">
      <c r="A4" s="3">
        <v>15</v>
      </c>
      <c r="B4" s="7" t="s">
        <v>2</v>
      </c>
      <c r="C4" s="8" t="s">
        <v>7</v>
      </c>
      <c r="D4" s="24">
        <v>71.599999999999994</v>
      </c>
      <c r="E4" s="30">
        <v>24.775086505190313</v>
      </c>
      <c r="F4" s="36">
        <v>2.5870000000000002</v>
      </c>
      <c r="G4" s="28">
        <v>36.1</v>
      </c>
      <c r="H4" s="26">
        <v>37</v>
      </c>
      <c r="I4" s="26">
        <v>6.13</v>
      </c>
      <c r="J4" s="26">
        <v>34</v>
      </c>
      <c r="K4" s="26">
        <v>5.58</v>
      </c>
      <c r="L4" s="40">
        <v>60</v>
      </c>
      <c r="M4" s="26">
        <v>11.48</v>
      </c>
      <c r="N4" s="40">
        <v>58</v>
      </c>
      <c r="O4" s="26">
        <v>11.28</v>
      </c>
      <c r="P4" s="26">
        <v>30.8</v>
      </c>
      <c r="Q4" s="26">
        <v>462</v>
      </c>
      <c r="R4" s="26">
        <v>29</v>
      </c>
      <c r="S4" s="26">
        <v>435</v>
      </c>
      <c r="T4" s="26">
        <v>35</v>
      </c>
      <c r="U4" s="26">
        <v>525</v>
      </c>
      <c r="V4" s="26">
        <v>32.5</v>
      </c>
      <c r="W4" s="26">
        <v>488</v>
      </c>
      <c r="X4" s="46">
        <v>21.005335230304102</v>
      </c>
      <c r="Y4" s="11">
        <v>22.07238129112573</v>
      </c>
      <c r="Z4" s="11">
        <v>29.008180686466297</v>
      </c>
      <c r="AA4" s="47">
        <v>19.938289169482477</v>
      </c>
      <c r="AB4" s="52">
        <v>43.570644472386888</v>
      </c>
      <c r="AC4" s="32">
        <v>34.58914635850148</v>
      </c>
      <c r="AD4" s="32">
        <v>33.59120212362533</v>
      </c>
      <c r="AE4" s="53">
        <v>26.690317945033229</v>
      </c>
    </row>
    <row r="5" spans="1:31">
      <c r="A5" s="3">
        <v>16</v>
      </c>
      <c r="B5" s="7" t="s">
        <v>2</v>
      </c>
      <c r="C5" s="8" t="s">
        <v>6</v>
      </c>
      <c r="D5" s="24">
        <v>58</v>
      </c>
      <c r="E5" s="30">
        <v>21.30394857667585</v>
      </c>
      <c r="F5" s="36">
        <v>2.1179999999999999</v>
      </c>
      <c r="G5" s="28">
        <v>36.5</v>
      </c>
      <c r="H5" s="26">
        <v>34</v>
      </c>
      <c r="I5" s="26">
        <v>5.59</v>
      </c>
      <c r="J5" s="26">
        <v>28</v>
      </c>
      <c r="K5" s="26">
        <v>4.43</v>
      </c>
      <c r="L5" s="26">
        <v>61</v>
      </c>
      <c r="M5" s="26">
        <v>10.039999999999999</v>
      </c>
      <c r="N5" s="26">
        <v>58</v>
      </c>
      <c r="O5" s="26">
        <v>9.36</v>
      </c>
      <c r="P5" s="26">
        <v>25.4</v>
      </c>
      <c r="Q5" s="26">
        <v>381</v>
      </c>
      <c r="R5" s="26">
        <v>19.899999999999999</v>
      </c>
      <c r="S5" s="26">
        <v>299</v>
      </c>
      <c r="T5" s="26">
        <v>40.299999999999997</v>
      </c>
      <c r="U5" s="26">
        <v>605</v>
      </c>
      <c r="V5" s="26">
        <v>41.3</v>
      </c>
      <c r="W5" s="26">
        <v>619</v>
      </c>
      <c r="X5" s="46">
        <v>24.206473412768979</v>
      </c>
      <c r="Y5" s="11">
        <v>29.541703716877109</v>
      </c>
      <c r="Z5" s="11">
        <v>41.279210385915</v>
      </c>
      <c r="AA5" s="47">
        <v>39.678641294682556</v>
      </c>
      <c r="AB5" s="52">
        <v>41.574756002634572</v>
      </c>
      <c r="AC5" s="32">
        <v>40.576811767758414</v>
      </c>
      <c r="AD5" s="32">
        <v>54.548031056024598</v>
      </c>
      <c r="AE5" s="53">
        <v>54.548031056024591</v>
      </c>
    </row>
    <row r="6" spans="1:31">
      <c r="A6" s="3"/>
      <c r="B6" s="7"/>
      <c r="C6" s="8"/>
      <c r="D6" s="24"/>
      <c r="E6" s="30"/>
      <c r="F6" s="36"/>
      <c r="G6" s="28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44"/>
      <c r="Y6" s="7"/>
      <c r="Z6" s="7"/>
      <c r="AA6" s="45"/>
      <c r="AB6" s="44"/>
      <c r="AC6" s="7"/>
      <c r="AD6" s="7"/>
      <c r="AE6" s="45"/>
    </row>
    <row r="7" spans="1:31">
      <c r="A7" s="3">
        <v>20</v>
      </c>
      <c r="B7" s="7" t="s">
        <v>2</v>
      </c>
      <c r="C7" s="8" t="s">
        <v>8</v>
      </c>
      <c r="D7" s="24">
        <v>98</v>
      </c>
      <c r="E7" s="30">
        <v>30.246913580246911</v>
      </c>
      <c r="F7" s="36">
        <v>3.1150000000000002</v>
      </c>
      <c r="G7" s="28">
        <v>31.8</v>
      </c>
      <c r="H7" s="26">
        <v>37</v>
      </c>
      <c r="I7" s="26">
        <v>6.06</v>
      </c>
      <c r="J7" s="26">
        <v>34</v>
      </c>
      <c r="K7" s="26">
        <v>5.56</v>
      </c>
      <c r="L7" s="26">
        <v>58</v>
      </c>
      <c r="M7" s="26">
        <v>9.48</v>
      </c>
      <c r="N7" s="26">
        <v>55</v>
      </c>
      <c r="O7" s="26">
        <v>9.2100000000000009</v>
      </c>
      <c r="P7" s="26">
        <v>29.6</v>
      </c>
      <c r="Q7" s="26">
        <v>444</v>
      </c>
      <c r="R7" s="26">
        <v>29.5</v>
      </c>
      <c r="S7" s="26">
        <v>443</v>
      </c>
      <c r="T7" s="26">
        <v>42.9</v>
      </c>
      <c r="U7" s="26">
        <v>644</v>
      </c>
      <c r="V7" s="26">
        <v>41.1</v>
      </c>
      <c r="W7" s="26">
        <v>617</v>
      </c>
      <c r="X7" s="46">
        <v>25.807042504001416</v>
      </c>
      <c r="Y7" s="11">
        <v>27.407611595233863</v>
      </c>
      <c r="Z7" s="11">
        <v>30.608749777698737</v>
      </c>
      <c r="AA7" s="47">
        <v>29.541703716877109</v>
      </c>
      <c r="AB7" s="52">
        <v>26.41213679301686</v>
      </c>
      <c r="AC7" s="32">
        <v>28.838885567380132</v>
      </c>
      <c r="AD7" s="32">
        <v>29.401494678942967</v>
      </c>
      <c r="AE7" s="53">
        <v>27.010008370202083</v>
      </c>
    </row>
    <row r="8" spans="1:31">
      <c r="A8" s="3"/>
      <c r="B8" s="7"/>
      <c r="C8" s="8"/>
      <c r="D8" s="24"/>
      <c r="E8" s="30"/>
      <c r="F8" s="36"/>
      <c r="G8" s="28"/>
      <c r="H8" s="37"/>
      <c r="I8" s="36"/>
      <c r="J8" s="26"/>
      <c r="K8" s="26"/>
      <c r="L8" s="37"/>
      <c r="M8" s="36"/>
      <c r="N8" s="26"/>
      <c r="O8" s="26"/>
      <c r="P8" s="26"/>
      <c r="Q8" s="26"/>
      <c r="R8" s="26"/>
      <c r="S8" s="26"/>
      <c r="T8" s="26"/>
      <c r="U8" s="26"/>
      <c r="V8" s="26"/>
      <c r="W8" s="26"/>
      <c r="X8" s="44"/>
      <c r="Y8" s="7"/>
      <c r="Z8" s="7"/>
      <c r="AA8" s="45"/>
      <c r="AB8" s="44"/>
      <c r="AC8" s="7"/>
      <c r="AD8" s="7"/>
      <c r="AE8" s="45"/>
    </row>
    <row r="9" spans="1:31">
      <c r="A9" s="3">
        <v>23</v>
      </c>
      <c r="B9" s="7" t="s">
        <v>2</v>
      </c>
      <c r="C9" s="8" t="s">
        <v>8</v>
      </c>
      <c r="D9" s="24">
        <v>69</v>
      </c>
      <c r="E9" s="30">
        <v>25.344352617079892</v>
      </c>
      <c r="F9" s="36">
        <v>2.177</v>
      </c>
      <c r="G9" s="28">
        <v>31.6</v>
      </c>
      <c r="H9" s="26">
        <v>31</v>
      </c>
      <c r="I9" s="26">
        <v>5.12</v>
      </c>
      <c r="J9" s="37">
        <v>28</v>
      </c>
      <c r="K9" s="36">
        <v>4.57</v>
      </c>
      <c r="L9" s="26">
        <v>52</v>
      </c>
      <c r="M9" s="26">
        <v>8.49</v>
      </c>
      <c r="N9" s="37">
        <v>55</v>
      </c>
      <c r="O9" s="36">
        <v>9.1999999999999993</v>
      </c>
      <c r="P9" s="26">
        <v>20.7</v>
      </c>
      <c r="Q9" s="26">
        <v>310</v>
      </c>
      <c r="R9" s="26">
        <v>20.2</v>
      </c>
      <c r="S9" s="26">
        <v>303</v>
      </c>
      <c r="T9" s="26">
        <v>31.1</v>
      </c>
      <c r="U9" s="26">
        <v>466</v>
      </c>
      <c r="V9" s="26">
        <v>32.5</v>
      </c>
      <c r="W9" s="26">
        <v>488</v>
      </c>
      <c r="X9" s="46">
        <v>18.871243108660853</v>
      </c>
      <c r="Y9" s="11">
        <v>31.142272808109549</v>
      </c>
      <c r="Z9" s="11">
        <v>40.745687355504181</v>
      </c>
      <c r="AA9" s="47">
        <v>30.608749777698733</v>
      </c>
      <c r="AB9" s="52">
        <v>23.422778907090759</v>
      </c>
      <c r="AC9" s="32">
        <v>30.460374328987733</v>
      </c>
      <c r="AD9" s="32">
        <v>38.369568336721272</v>
      </c>
      <c r="AE9" s="53">
        <v>28.205751524572527</v>
      </c>
    </row>
    <row r="10" spans="1:31">
      <c r="A10" s="3"/>
      <c r="B10" s="7"/>
      <c r="C10" s="8"/>
      <c r="D10" s="24"/>
      <c r="E10" s="30"/>
      <c r="F10" s="36"/>
      <c r="G10" s="28"/>
      <c r="H10" s="37"/>
      <c r="I10" s="36"/>
      <c r="J10" s="38"/>
      <c r="K10" s="39"/>
      <c r="L10" s="37"/>
      <c r="M10" s="3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44"/>
      <c r="Y10" s="7"/>
      <c r="Z10" s="7"/>
      <c r="AA10" s="45"/>
      <c r="AB10" s="44"/>
      <c r="AC10" s="7"/>
      <c r="AD10" s="7"/>
      <c r="AE10" s="45"/>
    </row>
    <row r="11" spans="1:31">
      <c r="A11" s="3">
        <v>27</v>
      </c>
      <c r="B11" s="7" t="s">
        <v>2</v>
      </c>
      <c r="C11" s="8" t="s">
        <v>7</v>
      </c>
      <c r="D11" s="24">
        <v>56.5</v>
      </c>
      <c r="E11" s="30">
        <v>22.070312499999996</v>
      </c>
      <c r="F11" s="36">
        <v>2.2250000000000001</v>
      </c>
      <c r="G11" s="28">
        <v>39.4</v>
      </c>
      <c r="H11" s="26">
        <v>25</v>
      </c>
      <c r="I11" s="26">
        <v>4.1100000000000003</v>
      </c>
      <c r="J11" s="37">
        <v>25</v>
      </c>
      <c r="K11" s="36">
        <v>4.07</v>
      </c>
      <c r="L11" s="26">
        <v>40</v>
      </c>
      <c r="M11" s="26">
        <v>7.03</v>
      </c>
      <c r="N11" s="37">
        <v>49</v>
      </c>
      <c r="O11" s="36">
        <v>8.01</v>
      </c>
      <c r="P11" s="26">
        <v>17.100000000000001</v>
      </c>
      <c r="Q11" s="26">
        <v>256</v>
      </c>
      <c r="R11" s="26">
        <v>19.3</v>
      </c>
      <c r="S11" s="26">
        <v>289</v>
      </c>
      <c r="T11" s="26">
        <v>28.1</v>
      </c>
      <c r="U11" s="26">
        <v>422</v>
      </c>
      <c r="V11" s="26">
        <v>32.4</v>
      </c>
      <c r="W11" s="26">
        <v>486</v>
      </c>
      <c r="X11" s="46">
        <v>23.672950382358167</v>
      </c>
      <c r="Y11" s="11">
        <v>30.075226747287921</v>
      </c>
      <c r="Z11" s="11">
        <v>34.343410990574426</v>
      </c>
      <c r="AA11" s="47">
        <v>32.74284189934199</v>
      </c>
      <c r="AB11" s="52">
        <v>33.586595719239511</v>
      </c>
      <c r="AC11" s="32">
        <v>35.380210450795175</v>
      </c>
      <c r="AD11" s="32">
        <v>35.000330025110614</v>
      </c>
      <c r="AE11" s="53">
        <v>35.478627286858789</v>
      </c>
    </row>
    <row r="12" spans="1:31">
      <c r="A12" s="3"/>
      <c r="B12" s="7"/>
      <c r="C12" s="8"/>
      <c r="D12" s="24"/>
      <c r="E12" s="30"/>
      <c r="F12" s="36"/>
      <c r="G12" s="28"/>
      <c r="H12" s="37"/>
      <c r="I12" s="36"/>
      <c r="J12" s="26"/>
      <c r="K12" s="26"/>
      <c r="L12" s="37"/>
      <c r="M12" s="3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44"/>
      <c r="Y12" s="7"/>
      <c r="Z12" s="7"/>
      <c r="AA12" s="45"/>
      <c r="AB12" s="44"/>
      <c r="AC12" s="7"/>
      <c r="AD12" s="7"/>
      <c r="AE12" s="45"/>
    </row>
    <row r="13" spans="1:31">
      <c r="A13" s="2">
        <v>1</v>
      </c>
      <c r="B13" s="7" t="s">
        <v>3</v>
      </c>
      <c r="C13" s="8" t="s">
        <v>6</v>
      </c>
      <c r="D13" s="25">
        <v>57.4</v>
      </c>
      <c r="E13" s="30">
        <v>19.861591695501733</v>
      </c>
      <c r="F13" s="35">
        <v>2.4969999999999999</v>
      </c>
      <c r="G13" s="28">
        <v>43.5</v>
      </c>
      <c r="H13" s="25">
        <v>34</v>
      </c>
      <c r="I13" s="25">
        <v>5.41</v>
      </c>
      <c r="J13" s="25">
        <v>31</v>
      </c>
      <c r="K13" s="25">
        <v>5.16</v>
      </c>
      <c r="L13" s="25">
        <v>61</v>
      </c>
      <c r="M13" s="25">
        <v>10.220000000000001</v>
      </c>
      <c r="N13" s="25">
        <v>67</v>
      </c>
      <c r="O13" s="25">
        <v>11.08</v>
      </c>
      <c r="P13" s="25">
        <v>21</v>
      </c>
      <c r="Q13" s="25">
        <v>315</v>
      </c>
      <c r="R13" s="25">
        <v>21.6</v>
      </c>
      <c r="S13" s="25">
        <v>324</v>
      </c>
      <c r="T13" s="25">
        <v>37.700000000000003</v>
      </c>
      <c r="U13" s="25">
        <v>565</v>
      </c>
      <c r="V13" s="25">
        <v>38</v>
      </c>
      <c r="W13" s="25">
        <v>570</v>
      </c>
      <c r="X13" s="46">
        <v>29.734227481919788</v>
      </c>
      <c r="Y13" s="11">
        <v>23.422590401051938</v>
      </c>
      <c r="Z13" s="11">
        <v>33.941985535831684</v>
      </c>
      <c r="AA13" s="47">
        <v>34.467955292570672</v>
      </c>
      <c r="AB13" s="52">
        <v>31.311179329751852</v>
      </c>
      <c r="AC13" s="32">
        <v>31.515442994798324</v>
      </c>
      <c r="AD13" s="32">
        <v>32.257728623466257</v>
      </c>
      <c r="AE13" s="53">
        <v>33.22982860066513</v>
      </c>
    </row>
    <row r="14" spans="1:31">
      <c r="A14" s="3"/>
      <c r="B14" s="7"/>
      <c r="C14" s="8"/>
      <c r="D14" s="26"/>
      <c r="E14" s="30"/>
      <c r="F14" s="36"/>
      <c r="G14" s="28"/>
      <c r="H14" s="26"/>
      <c r="I14" s="36"/>
      <c r="J14" s="26"/>
      <c r="K14" s="3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44"/>
      <c r="Y14" s="7"/>
      <c r="Z14" s="7"/>
      <c r="AA14" s="45"/>
      <c r="AB14" s="44"/>
      <c r="AC14" s="7"/>
      <c r="AD14" s="7"/>
      <c r="AE14" s="45"/>
    </row>
    <row r="15" spans="1:31">
      <c r="A15" s="3">
        <v>3</v>
      </c>
      <c r="B15" s="7" t="s">
        <v>3</v>
      </c>
      <c r="C15" s="8" t="s">
        <v>6</v>
      </c>
      <c r="D15" s="24"/>
      <c r="E15" s="30"/>
      <c r="F15" s="36"/>
      <c r="G15" s="28"/>
      <c r="H15" s="26"/>
      <c r="I15" s="26">
        <v>5.29</v>
      </c>
      <c r="J15" s="26">
        <v>55</v>
      </c>
      <c r="K15" s="26">
        <v>5.15</v>
      </c>
      <c r="L15" s="26"/>
      <c r="M15" s="26"/>
      <c r="N15" s="26"/>
      <c r="O15" s="26"/>
      <c r="P15" s="26">
        <v>31</v>
      </c>
      <c r="Q15" s="40"/>
      <c r="R15" s="26">
        <v>30</v>
      </c>
      <c r="S15" s="26"/>
      <c r="T15" s="26"/>
      <c r="U15" s="26"/>
      <c r="V15" s="26"/>
      <c r="W15" s="26"/>
      <c r="X15" s="46">
        <v>20.471812199893289</v>
      </c>
      <c r="Y15" s="11">
        <v>22.605904321536542</v>
      </c>
      <c r="Z15" s="7"/>
      <c r="AA15" s="45"/>
      <c r="AB15" s="52">
        <v>27.607879947387307</v>
      </c>
      <c r="AC15" s="32">
        <v>28.205751524572527</v>
      </c>
      <c r="AD15" s="7"/>
      <c r="AE15" s="45"/>
    </row>
    <row r="16" spans="1:31">
      <c r="A16" s="3">
        <v>4</v>
      </c>
      <c r="B16" s="7" t="s">
        <v>3</v>
      </c>
      <c r="C16" s="8" t="s">
        <v>8</v>
      </c>
      <c r="D16" s="26">
        <v>99</v>
      </c>
      <c r="E16" s="30">
        <v>28.926223520818112</v>
      </c>
      <c r="F16" s="36">
        <v>4.5869999999999997</v>
      </c>
      <c r="G16" s="28">
        <v>46.3</v>
      </c>
      <c r="H16" s="26">
        <v>45</v>
      </c>
      <c r="I16" s="26">
        <v>4.25</v>
      </c>
      <c r="J16" s="26">
        <v>40</v>
      </c>
      <c r="K16" s="26">
        <v>3.53</v>
      </c>
      <c r="L16" s="26">
        <v>75</v>
      </c>
      <c r="M16" s="26">
        <v>7.29</v>
      </c>
      <c r="N16" s="26">
        <v>80</v>
      </c>
      <c r="O16" s="36">
        <v>7.3</v>
      </c>
      <c r="P16" s="26">
        <v>39.700000000000003</v>
      </c>
      <c r="Q16" s="26">
        <v>595</v>
      </c>
      <c r="R16" s="26">
        <v>40.4</v>
      </c>
      <c r="S16" s="26">
        <v>606</v>
      </c>
      <c r="T16" s="26">
        <v>46.4</v>
      </c>
      <c r="U16" s="26">
        <v>696</v>
      </c>
      <c r="V16" s="26">
        <v>47.1</v>
      </c>
      <c r="W16" s="26">
        <v>706</v>
      </c>
      <c r="X16" s="46">
        <v>27.963313609467455</v>
      </c>
      <c r="Y16" s="11">
        <v>26.052439184746877</v>
      </c>
      <c r="Z16" s="11">
        <v>43.409441157133458</v>
      </c>
      <c r="AA16" s="47">
        <v>33.416015779092696</v>
      </c>
      <c r="AB16" s="52">
        <v>35.148477871578407</v>
      </c>
      <c r="AC16" s="32">
        <v>32.368176004093115</v>
      </c>
      <c r="AD16" s="32">
        <v>42.183525198260412</v>
      </c>
      <c r="AE16" s="53">
        <v>41.748239106335802</v>
      </c>
    </row>
    <row r="17" spans="1:31">
      <c r="A17" s="3">
        <v>5</v>
      </c>
      <c r="B17" s="7" t="s">
        <v>3</v>
      </c>
      <c r="C17" s="8" t="s">
        <v>6</v>
      </c>
      <c r="D17" s="24">
        <v>82.6</v>
      </c>
      <c r="E17" s="30">
        <v>23.875592554052488</v>
      </c>
      <c r="F17" s="36">
        <v>3.0449999999999999</v>
      </c>
      <c r="G17" s="28">
        <v>36.86</v>
      </c>
      <c r="H17" s="26">
        <v>45</v>
      </c>
      <c r="I17" s="26">
        <v>4.09</v>
      </c>
      <c r="J17" s="26">
        <v>40</v>
      </c>
      <c r="K17" s="36">
        <v>3.3</v>
      </c>
      <c r="L17" s="26">
        <v>70</v>
      </c>
      <c r="M17" s="26">
        <v>6.46</v>
      </c>
      <c r="N17" s="26">
        <v>70</v>
      </c>
      <c r="O17" s="26">
        <v>6.57</v>
      </c>
      <c r="P17" s="26">
        <v>27.8</v>
      </c>
      <c r="Q17" s="26">
        <v>418</v>
      </c>
      <c r="R17" s="26">
        <v>23</v>
      </c>
      <c r="S17" s="26">
        <v>345</v>
      </c>
      <c r="T17" s="26">
        <v>45.3</v>
      </c>
      <c r="U17" s="26">
        <v>680</v>
      </c>
      <c r="V17" s="26">
        <v>44.5</v>
      </c>
      <c r="W17" s="26">
        <v>668</v>
      </c>
      <c r="X17" s="46">
        <v>22.370650887573962</v>
      </c>
      <c r="Y17" s="11">
        <v>16.584983563445103</v>
      </c>
      <c r="Z17" s="11">
        <v>26.578408941485865</v>
      </c>
      <c r="AA17" s="47">
        <v>26.052439184746877</v>
      </c>
      <c r="AB17" s="52">
        <v>34.508928114607315</v>
      </c>
      <c r="AC17" s="32">
        <v>30.662709985503533</v>
      </c>
      <c r="AD17" s="32">
        <v>35.7880276285495</v>
      </c>
      <c r="AE17" s="53">
        <v>39.190040078451432</v>
      </c>
    </row>
    <row r="18" spans="1:31">
      <c r="A18" s="3"/>
      <c r="B18" s="7"/>
      <c r="C18" s="8"/>
      <c r="D18" s="24"/>
      <c r="E18" s="30"/>
      <c r="F18" s="36"/>
      <c r="G18" s="28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44"/>
      <c r="Y18" s="7"/>
      <c r="Z18" s="7"/>
      <c r="AA18" s="45"/>
      <c r="AB18" s="44"/>
      <c r="AC18" s="7"/>
      <c r="AD18" s="7"/>
      <c r="AE18" s="45"/>
    </row>
    <row r="19" spans="1:31">
      <c r="A19" s="3">
        <v>12</v>
      </c>
      <c r="B19" s="7" t="s">
        <v>3</v>
      </c>
      <c r="C19" s="8" t="s">
        <v>7</v>
      </c>
      <c r="D19" s="26">
        <v>76.5</v>
      </c>
      <c r="E19" s="30">
        <v>23.611111111111111</v>
      </c>
      <c r="F19" s="36">
        <v>2.8069999999999999</v>
      </c>
      <c r="G19" s="28">
        <v>36.700000000000003</v>
      </c>
      <c r="H19" s="26">
        <v>43</v>
      </c>
      <c r="I19" s="26">
        <v>7.16</v>
      </c>
      <c r="J19" s="26">
        <v>43</v>
      </c>
      <c r="K19" s="26">
        <v>7.09</v>
      </c>
      <c r="L19" s="26">
        <v>64</v>
      </c>
      <c r="M19" s="26">
        <v>10.41</v>
      </c>
      <c r="N19" s="26">
        <v>67</v>
      </c>
      <c r="O19" s="26">
        <v>11.29</v>
      </c>
      <c r="P19" s="26">
        <v>29.7</v>
      </c>
      <c r="Q19" s="26">
        <v>445</v>
      </c>
      <c r="R19" s="26">
        <v>28.2</v>
      </c>
      <c r="S19" s="26">
        <v>423</v>
      </c>
      <c r="T19" s="26">
        <v>46.1</v>
      </c>
      <c r="U19" s="26">
        <v>691</v>
      </c>
      <c r="V19" s="26">
        <v>46.9</v>
      </c>
      <c r="W19" s="26">
        <v>704</v>
      </c>
      <c r="X19" s="46">
        <v>20.792741617357002</v>
      </c>
      <c r="Y19" s="11">
        <v>18.162892833662067</v>
      </c>
      <c r="Z19" s="11">
        <v>25.526469428007889</v>
      </c>
      <c r="AA19" s="47">
        <v>29.734227481919792</v>
      </c>
      <c r="AB19" s="52">
        <v>28.752980301867481</v>
      </c>
      <c r="AC19" s="32">
        <v>30.662709985503533</v>
      </c>
      <c r="AD19" s="32">
        <v>35.7880276285495</v>
      </c>
      <c r="AE19" s="53">
        <v>35.1484778715784</v>
      </c>
    </row>
    <row r="20" spans="1:31">
      <c r="A20" s="3">
        <v>13</v>
      </c>
      <c r="B20" s="7" t="s">
        <v>3</v>
      </c>
      <c r="C20" s="8" t="s">
        <v>6</v>
      </c>
      <c r="D20" s="24">
        <v>100</v>
      </c>
      <c r="E20" s="30">
        <v>30.524098775983639</v>
      </c>
      <c r="F20" s="36">
        <v>4.2350000000000003</v>
      </c>
      <c r="G20" s="28">
        <v>42.36</v>
      </c>
      <c r="H20" s="26">
        <v>75</v>
      </c>
      <c r="I20" s="36">
        <v>7.1</v>
      </c>
      <c r="J20" s="26">
        <v>55</v>
      </c>
      <c r="K20" s="36">
        <v>5.2</v>
      </c>
      <c r="L20" s="26">
        <v>100</v>
      </c>
      <c r="M20" s="26">
        <v>10.050000000000001</v>
      </c>
      <c r="N20" s="26">
        <v>95</v>
      </c>
      <c r="O20" s="36">
        <v>9</v>
      </c>
      <c r="P20" s="26">
        <v>46.9</v>
      </c>
      <c r="Q20" s="26">
        <v>703</v>
      </c>
      <c r="R20" s="26">
        <v>43</v>
      </c>
      <c r="S20" s="26">
        <v>645</v>
      </c>
      <c r="T20" s="26">
        <v>61.7</v>
      </c>
      <c r="U20" s="26">
        <v>926</v>
      </c>
      <c r="V20" s="26">
        <v>55.4</v>
      </c>
      <c r="W20" s="26">
        <v>831</v>
      </c>
      <c r="X20" s="46">
        <v>30.786166995397764</v>
      </c>
      <c r="Y20" s="11">
        <v>12.90319526627219</v>
      </c>
      <c r="Z20" s="11">
        <v>32.890046022353708</v>
      </c>
      <c r="AA20" s="47">
        <v>33.416015779092696</v>
      </c>
      <c r="AB20" s="52">
        <v>34.926375031977486</v>
      </c>
      <c r="AC20" s="32">
        <v>22.988112901850425</v>
      </c>
      <c r="AD20" s="48">
        <v>38.340000000000003</v>
      </c>
      <c r="AE20" s="53">
        <v>38.337307069156644</v>
      </c>
    </row>
    <row r="21" spans="1:31">
      <c r="A21" s="3"/>
      <c r="B21" s="7"/>
      <c r="C21" s="8"/>
      <c r="D21" s="24"/>
      <c r="E21" s="30"/>
      <c r="F21" s="36"/>
      <c r="G21" s="28"/>
      <c r="H21" s="37"/>
      <c r="I21" s="36"/>
      <c r="J21" s="37"/>
      <c r="K21" s="36"/>
      <c r="L21" s="37"/>
      <c r="M21" s="26"/>
      <c r="N21" s="37"/>
      <c r="O21" s="26"/>
      <c r="P21" s="24"/>
      <c r="Q21" s="37"/>
      <c r="R21" s="24"/>
      <c r="S21" s="37"/>
      <c r="T21" s="24"/>
      <c r="U21" s="37"/>
      <c r="V21" s="24"/>
      <c r="W21" s="37"/>
      <c r="X21" s="44"/>
      <c r="Y21" s="7"/>
      <c r="Z21" s="7"/>
      <c r="AA21" s="45"/>
      <c r="AB21" s="44"/>
      <c r="AC21" s="7"/>
      <c r="AD21" s="7"/>
      <c r="AE21" s="45"/>
    </row>
    <row r="22" spans="1:31">
      <c r="A22" s="3"/>
      <c r="B22" s="7"/>
      <c r="C22" s="8"/>
      <c r="D22" s="24"/>
      <c r="E22" s="30"/>
      <c r="F22" s="36"/>
      <c r="G22" s="28"/>
      <c r="H22" s="26"/>
      <c r="I22" s="26"/>
      <c r="J22" s="26"/>
      <c r="K22" s="3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44"/>
      <c r="Y22" s="7"/>
      <c r="Z22" s="7"/>
      <c r="AA22" s="45"/>
      <c r="AB22" s="44"/>
      <c r="AC22" s="7"/>
      <c r="AD22" s="7"/>
      <c r="AE22" s="45"/>
    </row>
    <row r="23" spans="1:31">
      <c r="A23" s="3"/>
      <c r="B23" s="7"/>
      <c r="C23" s="8"/>
      <c r="D23" s="26"/>
      <c r="E23" s="31"/>
      <c r="F23" s="36"/>
      <c r="G23" s="2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44"/>
      <c r="Y23" s="7"/>
      <c r="Z23" s="7"/>
      <c r="AA23" s="45"/>
      <c r="AB23" s="44"/>
      <c r="AC23" s="7"/>
      <c r="AD23" s="7"/>
      <c r="AE23" s="45"/>
    </row>
    <row r="24" spans="1:31">
      <c r="A24" s="4">
        <v>26</v>
      </c>
      <c r="B24" s="7" t="s">
        <v>3</v>
      </c>
      <c r="C24" s="8" t="s">
        <v>6</v>
      </c>
      <c r="D24" s="24">
        <v>88.8</v>
      </c>
      <c r="E24" s="30">
        <v>31.46258503401361</v>
      </c>
      <c r="F24" s="36">
        <v>3.1989999999999998</v>
      </c>
      <c r="G24" s="28">
        <v>36.17</v>
      </c>
      <c r="H24" s="26">
        <v>40</v>
      </c>
      <c r="I24" s="26">
        <v>3.57</v>
      </c>
      <c r="J24" s="26">
        <v>40</v>
      </c>
      <c r="K24" s="26">
        <v>3.37</v>
      </c>
      <c r="L24" s="26">
        <v>65</v>
      </c>
      <c r="M24" s="36">
        <v>6</v>
      </c>
      <c r="N24" s="26">
        <v>70</v>
      </c>
      <c r="O24" s="36">
        <v>6.4</v>
      </c>
      <c r="P24" s="26">
        <v>22.8</v>
      </c>
      <c r="Q24" s="26">
        <v>341</v>
      </c>
      <c r="R24" s="26">
        <v>22.1</v>
      </c>
      <c r="S24" s="26">
        <v>331</v>
      </c>
      <c r="T24" s="26">
        <v>39.9</v>
      </c>
      <c r="U24" s="26">
        <v>598</v>
      </c>
      <c r="V24" s="26">
        <v>38.200000000000003</v>
      </c>
      <c r="W24" s="26">
        <v>573</v>
      </c>
      <c r="X24" s="46">
        <v>23.139427351947354</v>
      </c>
      <c r="Y24" s="11">
        <v>14.069535834963542</v>
      </c>
      <c r="Z24" s="11">
        <v>38.078072203450112</v>
      </c>
      <c r="AA24" s="47">
        <v>33.809887960163614</v>
      </c>
      <c r="AB24" s="52">
        <v>24.477790266650725</v>
      </c>
      <c r="AC24" s="32">
        <v>25.434384790147078</v>
      </c>
      <c r="AD24" s="32">
        <v>37.173825182350832</v>
      </c>
      <c r="AE24" s="53">
        <v>39.56531149109172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 description</vt:lpstr>
      <vt:lpstr>Biopsy_codes</vt:lpstr>
      <vt:lpstr>Period 1</vt:lpstr>
      <vt:lpstr>Period 2</vt:lpstr>
    </vt:vector>
  </TitlesOfParts>
  <Company>Karolinska Institutet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Maléne Klintberg</dc:creator>
  <cp:lastModifiedBy>Malene Lindholm</cp:lastModifiedBy>
  <dcterms:created xsi:type="dcterms:W3CDTF">2012-03-04T19:01:15Z</dcterms:created>
  <dcterms:modified xsi:type="dcterms:W3CDTF">2025-07-11T16:33:28Z</dcterms:modified>
</cp:coreProperties>
</file>